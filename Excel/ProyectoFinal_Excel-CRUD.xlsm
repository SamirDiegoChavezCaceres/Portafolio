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arpetaDeTrabajo\RepositorioLocal\portafolio\Excel\"/>
    </mc:Choice>
  </mc:AlternateContent>
  <xr:revisionPtr revIDLastSave="0" documentId="13_ncr:1_{6EED319D-3375-4497-88C8-2CF3E539350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FormData" sheetId="15" r:id="rId1"/>
    <sheet name="SalesOrders" sheetId="1" r:id="rId2"/>
    <sheet name="Region" sheetId="14" r:id="rId3"/>
    <sheet name="Representative" sheetId="16" r:id="rId4"/>
    <sheet name="Items" sheetId="13" r:id="rId5"/>
    <sheet name="EstadoRegistro" sheetId="17" r:id="rId6"/>
    <sheet name="Instructions" sheetId="8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7" i="15" l="1"/>
  <c r="H46" i="15"/>
  <c r="H45" i="15"/>
  <c r="H44" i="15"/>
  <c r="H43" i="15"/>
  <c r="H42" i="15"/>
  <c r="H41" i="15"/>
  <c r="H40" i="15"/>
  <c r="H39" i="15"/>
  <c r="H38" i="15"/>
  <c r="H37" i="15"/>
  <c r="H36" i="15"/>
  <c r="H35" i="15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</calcChain>
</file>

<file path=xl/sharedStrings.xml><?xml version="1.0" encoding="utf-8"?>
<sst xmlns="http://schemas.openxmlformats.org/spreadsheetml/2006/main" count="320" uniqueCount="51">
  <si>
    <t>Region</t>
  </si>
  <si>
    <t>Item</t>
  </si>
  <si>
    <t>Units</t>
  </si>
  <si>
    <t>Total</t>
  </si>
  <si>
    <t>Gill</t>
  </si>
  <si>
    <t>Jardine</t>
  </si>
  <si>
    <t>Jones</t>
  </si>
  <si>
    <t>Kivell</t>
  </si>
  <si>
    <t>Thompson</t>
  </si>
  <si>
    <t>Smith</t>
  </si>
  <si>
    <t>Howard</t>
  </si>
  <si>
    <t>Morgan</t>
  </si>
  <si>
    <t>Sorvino</t>
  </si>
  <si>
    <t>Unit Cost</t>
  </si>
  <si>
    <t>Pencil</t>
  </si>
  <si>
    <t>Binder</t>
  </si>
  <si>
    <t>Pen</t>
  </si>
  <si>
    <t>Andrews</t>
  </si>
  <si>
    <t>Parent</t>
  </si>
  <si>
    <t>Desk</t>
  </si>
  <si>
    <t>Pen Set</t>
  </si>
  <si>
    <t>OrderDate</t>
  </si>
  <si>
    <t>Central</t>
  </si>
  <si>
    <t>West</t>
  </si>
  <si>
    <t>East</t>
  </si>
  <si>
    <t>Online Instruction Page</t>
  </si>
  <si>
    <t>Related tutorials</t>
  </si>
  <si>
    <t>Notes</t>
  </si>
  <si>
    <t>•</t>
  </si>
  <si>
    <t>Named Excel Tables</t>
  </si>
  <si>
    <t>Sample Data for Excel</t>
  </si>
  <si>
    <t>Data Entry Tips</t>
  </si>
  <si>
    <t>The Total column could be changed to a formula, to multiply the Units and Cost columns.</t>
  </si>
  <si>
    <t>More Excel Sample Files</t>
  </si>
  <si>
    <t>SalesOrders sheet has office supply sales data for a fictional company</t>
  </si>
  <si>
    <t xml:space="preserve">Each row represents an order. </t>
  </si>
  <si>
    <t>Office Supply Sales Data</t>
  </si>
  <si>
    <t>Representative</t>
  </si>
  <si>
    <t>Id</t>
  </si>
  <si>
    <t>id</t>
  </si>
  <si>
    <t>A</t>
  </si>
  <si>
    <t>I</t>
  </si>
  <si>
    <t>*</t>
  </si>
  <si>
    <t>Register</t>
  </si>
  <si>
    <t>Description</t>
  </si>
  <si>
    <t>Active</t>
  </si>
  <si>
    <t>Removed</t>
  </si>
  <si>
    <t>Iddle</t>
  </si>
  <si>
    <t>South</t>
  </si>
  <si>
    <t>Samir</t>
  </si>
  <si>
    <t>Fork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</si>
</sst>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m/d/yy;@"/>
    <numFmt numFmtId="166" formatCode="0000"/>
    <numFmt numFmtId="167" formatCode="dd/mm/yy;@"/>
    <numFmt numFmtId="168" formatCode="&quot;S/&quot;\ #,##0.00"/>
  </numFmts>
  <fonts count="11" x14ac:knownFonts="1">
    <font>
      <sz val="11"/>
      <name val="Calibri"/>
      <family val="2"/>
    </font>
    <font>
      <sz val="11"/>
      <color theme="1"/>
      <name val="Calibri"/>
      <family val="2"/>
      <scheme val="minor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  <font>
      <u/>
      <sz val="11"/>
      <color theme="10"/>
      <name val="Calibri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6">
    <xf numFmtId="0" fontId="0" fillId="0" borderId="0"/>
    <xf numFmtId="164" fontId="2" fillId="0" borderId="0" applyFont="0" applyFill="0" applyBorder="0" applyAlignment="0" applyProtection="0"/>
    <xf numFmtId="0" fontId="3" fillId="0" borderId="0" applyNumberFormat="0" applyFill="0" applyBorder="0" applyAlignment="0" applyProtection="0">
      <alignment horizontal="left" indent="1"/>
    </xf>
    <xf numFmtId="0" fontId="7" fillId="0" borderId="0" applyNumberFormat="0" applyFill="0" applyBorder="0" applyAlignment="0" applyProtection="0"/>
    <xf numFmtId="0" fontId="1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40">
    <xf numFmtId="0" fontId="0" fillId="0" borderId="0" xfId="0"/>
    <xf numFmtId="0" fontId="5" fillId="0" borderId="0" xfId="0" applyFont="1"/>
    <xf numFmtId="0" fontId="0" fillId="0" borderId="0" xfId="0" applyAlignment="1">
      <alignment horizontal="right"/>
    </xf>
    <xf numFmtId="0" fontId="4" fillId="0" borderId="0" xfId="0" applyFont="1" applyAlignment="1">
      <alignment vertical="center"/>
    </xf>
    <xf numFmtId="0" fontId="4" fillId="0" borderId="0" xfId="0" applyFont="1" applyAlignment="1" applyProtection="1">
      <alignment vertical="center"/>
      <protection locked="0"/>
    </xf>
    <xf numFmtId="0" fontId="0" fillId="0" borderId="0" xfId="0" applyAlignment="1">
      <alignment horizontal="right" vertical="top" wrapText="1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165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  <protection locked="0"/>
    </xf>
    <xf numFmtId="164" fontId="0" fillId="0" borderId="0" xfId="1" applyFont="1" applyFill="1" applyBorder="1" applyAlignment="1" applyProtection="1">
      <alignment horizontal="left" vertical="center"/>
    </xf>
    <xf numFmtId="164" fontId="0" fillId="0" borderId="0" xfId="1" applyFont="1" applyFill="1" applyBorder="1" applyAlignment="1" applyProtection="1">
      <alignment vertical="center"/>
    </xf>
    <xf numFmtId="0" fontId="6" fillId="0" borderId="0" xfId="0" applyFont="1" applyAlignment="1">
      <alignment vertical="top"/>
    </xf>
    <xf numFmtId="0" fontId="7" fillId="0" borderId="0" xfId="3" applyAlignment="1">
      <alignment horizontal="left"/>
    </xf>
    <xf numFmtId="0" fontId="7" fillId="0" borderId="0" xfId="3" applyAlignment="1" applyProtection="1"/>
    <xf numFmtId="0" fontId="6" fillId="0" borderId="0" xfId="0" applyFont="1" applyAlignment="1">
      <alignment horizontal="left" vertical="top" indent="2"/>
    </xf>
    <xf numFmtId="1" fontId="8" fillId="2" borderId="1" xfId="0" applyNumberFormat="1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left" vertical="center"/>
    </xf>
    <xf numFmtId="0" fontId="9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166" fontId="4" fillId="0" borderId="0" xfId="0" applyNumberFormat="1" applyFont="1" applyAlignment="1">
      <alignment vertical="center"/>
    </xf>
    <xf numFmtId="0" fontId="10" fillId="2" borderId="3" xfId="0" applyFont="1" applyFill="1" applyBorder="1" applyAlignment="1">
      <alignment vertical="center"/>
    </xf>
    <xf numFmtId="166" fontId="8" fillId="2" borderId="2" xfId="0" applyNumberFormat="1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vertical="center"/>
    </xf>
    <xf numFmtId="167" fontId="4" fillId="0" borderId="0" xfId="0" applyNumberFormat="1" applyFont="1" applyAlignment="1">
      <alignment vertical="center"/>
    </xf>
    <xf numFmtId="168" fontId="0" fillId="0" borderId="0" xfId="0" applyNumberFormat="1" applyAlignment="1">
      <alignment horizontal="left" vertical="center"/>
    </xf>
    <xf numFmtId="168" fontId="0" fillId="0" borderId="0" xfId="1" applyNumberFormat="1" applyFont="1" applyFill="1" applyBorder="1" applyAlignment="1" applyProtection="1">
      <alignment horizontal="left" vertical="center"/>
    </xf>
    <xf numFmtId="168" fontId="4" fillId="0" borderId="0" xfId="0" applyNumberFormat="1" applyFont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2" fontId="0" fillId="0" borderId="0" xfId="0" applyNumberFormat="1" applyAlignment="1">
      <alignment horizontal="left" vertical="center"/>
    </xf>
    <xf numFmtId="2" fontId="0" fillId="0" borderId="0" xfId="1" applyNumberFormat="1" applyFont="1" applyFill="1" applyBorder="1" applyAlignment="1" applyProtection="1">
      <alignment vertical="center"/>
    </xf>
    <xf numFmtId="2" fontId="4" fillId="0" borderId="0" xfId="0" applyNumberFormat="1" applyFont="1" applyAlignment="1">
      <alignment vertical="center"/>
    </xf>
    <xf numFmtId="2" fontId="0" fillId="0" borderId="0" xfId="1" applyNumberFormat="1" applyFont="1" applyFill="1" applyBorder="1" applyAlignment="1" applyProtection="1">
      <alignment horizontal="left" vertical="center"/>
    </xf>
    <xf numFmtId="165" fontId="4" fillId="0" borderId="0" xfId="0" applyNumberFormat="1" applyFont="1" applyAlignment="1">
      <alignment vertical="center"/>
    </xf>
    <xf numFmtId="0" fontId="4" fillId="0" borderId="0" xfId="0" applyFont="1" applyAlignment="1">
      <alignment horizontal="left" vertical="center"/>
    </xf>
  </cellXfs>
  <cellStyles count="6">
    <cellStyle name="Ctx_Hyperlink" xfId="2" xr:uid="{00000000-0005-0000-0000-000001000000}"/>
    <cellStyle name="Hipervínculo" xfId="3" builtinId="8"/>
    <cellStyle name="Hyperlink 2" xfId="5" xr:uid="{EB666C6D-407C-40C7-A692-53700D36DD5D}"/>
    <cellStyle name="Millares" xfId="1" builtinId="3"/>
    <cellStyle name="Normal" xfId="0" builtinId="0" customBuiltin="1"/>
    <cellStyle name="Normal 4" xfId="4" xr:uid="{1A867160-CFF8-4CFB-9486-A3FC92514B8F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2" formatCode="0.00"/>
    </dxf>
    <dxf>
      <numFmt numFmtId="168" formatCode="&quot;S/&quot;\ #,##0.00"/>
    </dxf>
    <dxf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165" formatCode="m/d/yy;@"/>
      <alignment horizontal="general" vertical="center" textRotation="0" wrapText="0" indent="0" justifyLastLine="0" shrinkToFit="0" readingOrder="0"/>
    </dxf>
    <dxf>
      <numFmt numFmtId="167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000"/>
      <alignment horizontal="general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contextures.com/index.htm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327660</xdr:colOff>
          <xdr:row>1</xdr:row>
          <xdr:rowOff>91440</xdr:rowOff>
        </xdr:from>
        <xdr:to>
          <xdr:col>13</xdr:col>
          <xdr:colOff>99060</xdr:colOff>
          <xdr:row>3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Formulario</a:t>
              </a:r>
            </a:p>
            <a:p>
              <a:pPr algn="ctr" rtl="0">
                <a:defRPr sz="1000"/>
              </a:pPr>
              <a:endParaRPr lang="es-PE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129540</xdr:colOff>
      <xdr:row>0</xdr:row>
      <xdr:rowOff>68580</xdr:rowOff>
    </xdr:from>
    <xdr:to>
      <xdr:col>2</xdr:col>
      <xdr:colOff>1478281</xdr:colOff>
      <xdr:row>2</xdr:row>
      <xdr:rowOff>160020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8580"/>
          <a:ext cx="2171701" cy="36576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9C5371C-FAC5-4DCA-8078-F458A9D2D409}" name="FormTable" displayName="FormTable" ref="A1:I47" totalsRowShown="0">
  <tableColumns count="9">
    <tableColumn id="2" xr3:uid="{16C02450-2319-495E-9791-EB088F9A3FED}" name="id" dataDxfId="11"/>
    <tableColumn id="1" xr3:uid="{7116BF16-A0FC-466E-840F-8665688E6E5A}" name="OrderDate" dataDxfId="10"/>
    <tableColumn id="9" xr3:uid="{9B14B03B-E535-4BAC-AAFA-5DD4ACCA335A}" name="Region" dataDxfId="9"/>
    <tableColumn id="3" xr3:uid="{BF77E1C7-9E0F-4CFF-87B4-8B6EB9319E84}" name="Representative"/>
    <tableColumn id="8" xr3:uid="{CFDE48F9-273F-430D-ABE3-1B3677BBC058}" name="Item" dataDxfId="8"/>
    <tableColumn id="5" xr3:uid="{BA704FD3-6EA5-4CA6-BB6E-5A59DE578598}" name="Units" dataDxfId="7"/>
    <tableColumn id="6" xr3:uid="{BBDD4CEB-61AD-4EB6-B67A-1A51F0F4A2CD}" name="Unit Cost" dataDxfId="6"/>
    <tableColumn id="7" xr3:uid="{1A0E3B4B-BA10-450D-A4B5-B3C45D65BF62}" name="Total" dataDxfId="5">
      <calculatedColumnFormula>FormTable[[#This Row],[Units]]*FormTable[[#This Row],[Unit Cost]]</calculatedColumnFormula>
    </tableColumn>
    <tableColumn id="4" xr3:uid="{2E6A9D5C-8010-4A85-B1E9-A4DB0C691A35}" name="Register" dataDxfId="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H44" totalsRowShown="0">
  <autoFilter ref="A1:H44" xr:uid="{00000000-0009-0000-0100-000001000000}"/>
  <tableColumns count="8">
    <tableColumn id="1" xr3:uid="{00000000-0010-0000-0000-000001000000}" name="OrderDate"/>
    <tableColumn id="2" xr3:uid="{00000000-0010-0000-0000-000002000000}" name="Region" dataDxfId="3"/>
    <tableColumn id="3" xr3:uid="{00000000-0010-0000-0000-000003000000}" name="Representative" dataDxfId="2"/>
    <tableColumn id="4" xr3:uid="{00000000-0010-0000-0000-000004000000}" name="Item" dataDxfId="1"/>
    <tableColumn id="5" xr3:uid="{00000000-0010-0000-0000-000005000000}" name="Units"/>
    <tableColumn id="6" xr3:uid="{00000000-0010-0000-0000-000006000000}" name="Unit Cost"/>
    <tableColumn id="7" xr3:uid="{00000000-0010-0000-0000-000007000000}" name="Total"/>
    <tableColumn id="8" xr3:uid="{1B75DCA9-D7B9-4E53-BE1F-312A25D4F7CA}" name="Register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ntextures.com/xlDataEntry01.html" TargetMode="External"/><Relationship Id="rId2" Type="http://schemas.openxmlformats.org/officeDocument/2006/relationships/hyperlink" Target="https://www.contextures.com/xlExcelTable01.html" TargetMode="External"/><Relationship Id="rId1" Type="http://schemas.openxmlformats.org/officeDocument/2006/relationships/hyperlink" Target="https://www.contextures.com/xlSampleData01.html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contextures.com/excelfi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74D57-D63B-4745-A92B-4B981D4050C0}">
  <sheetPr codeName="Sheet2"/>
  <dimension ref="A1:I47"/>
  <sheetViews>
    <sheetView showGridLines="0" tabSelected="1" zoomScaleNormal="100" workbookViewId="0">
      <pane ySplit="1" topLeftCell="A2" activePane="bottomLeft" state="frozen"/>
      <selection pane="bottomLeft" activeCell="O3" sqref="O3"/>
    </sheetView>
  </sheetViews>
  <sheetFormatPr baseColWidth="10" defaultColWidth="9.109375" defaultRowHeight="14.4" x14ac:dyDescent="0.3"/>
  <cols>
    <col min="1" max="1" width="5" style="23" bestFit="1" customWidth="1"/>
    <col min="2" max="2" width="9.6640625" style="28" bestFit="1" customWidth="1"/>
    <col min="3" max="3" width="9" style="3" bestFit="1" customWidth="1"/>
    <col min="4" max="4" width="15.77734375" style="3" bestFit="1" customWidth="1"/>
    <col min="5" max="5" width="7.109375" style="3" bestFit="1" customWidth="1"/>
    <col min="6" max="6" width="7.5546875" style="33" bestFit="1" customWidth="1"/>
    <col min="7" max="7" width="10.88671875" style="31" bestFit="1" customWidth="1"/>
    <col min="8" max="8" width="10.109375" style="36" bestFit="1" customWidth="1"/>
    <col min="9" max="16384" width="9.109375" style="3"/>
  </cols>
  <sheetData>
    <row r="1" spans="1:9" x14ac:dyDescent="0.3">
      <c r="A1" s="25" t="s">
        <v>39</v>
      </c>
      <c r="B1" s="26" t="s">
        <v>21</v>
      </c>
      <c r="C1" s="7" t="s">
        <v>0</v>
      </c>
      <c r="D1" s="7" t="s">
        <v>37</v>
      </c>
      <c r="E1" s="8" t="s">
        <v>1</v>
      </c>
      <c r="F1" s="32" t="s">
        <v>2</v>
      </c>
      <c r="G1" s="29" t="s">
        <v>13</v>
      </c>
      <c r="H1" s="34" t="s">
        <v>3</v>
      </c>
      <c r="I1" s="3" t="s">
        <v>43</v>
      </c>
    </row>
    <row r="2" spans="1:9" x14ac:dyDescent="0.3">
      <c r="A2" s="23">
        <v>1</v>
      </c>
      <c r="B2" s="27">
        <v>44202</v>
      </c>
      <c r="C2" s="11" t="s">
        <v>22</v>
      </c>
      <c r="D2" s="11" t="s">
        <v>6</v>
      </c>
      <c r="E2" s="8" t="s">
        <v>14</v>
      </c>
      <c r="F2" s="32">
        <v>90</v>
      </c>
      <c r="G2" s="37">
        <v>1.99</v>
      </c>
      <c r="H2" s="35">
        <f>FormTable[[#This Row],[Units]]*FormTable[[#This Row],[Unit Cost]]</f>
        <v>179.1</v>
      </c>
      <c r="I2" s="22" t="s">
        <v>45</v>
      </c>
    </row>
    <row r="3" spans="1:9" x14ac:dyDescent="0.3">
      <c r="A3" s="23">
        <v>2</v>
      </c>
      <c r="B3" s="27">
        <v>44219</v>
      </c>
      <c r="C3" s="11" t="s">
        <v>22</v>
      </c>
      <c r="D3" s="11" t="s">
        <v>7</v>
      </c>
      <c r="E3" s="8" t="s">
        <v>15</v>
      </c>
      <c r="F3" s="32">
        <v>50</v>
      </c>
      <c r="G3" s="30">
        <v>19.989999999999998</v>
      </c>
      <c r="H3" s="35">
        <f>FormTable[[#This Row],[Units]]*FormTable[[#This Row],[Unit Cost]]</f>
        <v>999.49999999999989</v>
      </c>
      <c r="I3" s="22" t="s">
        <v>45</v>
      </c>
    </row>
    <row r="4" spans="1:9" x14ac:dyDescent="0.3">
      <c r="A4" s="23">
        <v>3</v>
      </c>
      <c r="B4" s="27">
        <v>44236</v>
      </c>
      <c r="C4" s="11" t="s">
        <v>22</v>
      </c>
      <c r="D4" s="11" t="s">
        <v>5</v>
      </c>
      <c r="E4" s="8" t="s">
        <v>14</v>
      </c>
      <c r="F4" s="32">
        <v>36</v>
      </c>
      <c r="G4" s="30">
        <v>4.99</v>
      </c>
      <c r="H4" s="35">
        <f>FormTable[[#This Row],[Units]]*FormTable[[#This Row],[Unit Cost]]</f>
        <v>179.64000000000001</v>
      </c>
      <c r="I4" s="22" t="s">
        <v>45</v>
      </c>
    </row>
    <row r="5" spans="1:9" x14ac:dyDescent="0.3">
      <c r="A5" s="23">
        <v>4</v>
      </c>
      <c r="B5" s="27">
        <v>44253</v>
      </c>
      <c r="C5" s="11" t="s">
        <v>22</v>
      </c>
      <c r="D5" s="11" t="s">
        <v>4</v>
      </c>
      <c r="E5" s="8" t="s">
        <v>16</v>
      </c>
      <c r="F5" s="32">
        <v>27</v>
      </c>
      <c r="G5" s="30">
        <v>19.989999999999998</v>
      </c>
      <c r="H5" s="35">
        <f>FormTable[[#This Row],[Units]]*FormTable[[#This Row],[Unit Cost]]</f>
        <v>539.7299999999999</v>
      </c>
      <c r="I5" s="22" t="s">
        <v>45</v>
      </c>
    </row>
    <row r="6" spans="1:9" x14ac:dyDescent="0.3">
      <c r="A6" s="23">
        <v>5</v>
      </c>
      <c r="B6" s="27">
        <v>44270</v>
      </c>
      <c r="C6" s="11" t="s">
        <v>23</v>
      </c>
      <c r="D6" s="11" t="s">
        <v>12</v>
      </c>
      <c r="E6" s="8" t="s">
        <v>14</v>
      </c>
      <c r="F6" s="32">
        <v>56</v>
      </c>
      <c r="G6" s="30">
        <v>2.99</v>
      </c>
      <c r="H6" s="35">
        <f>FormTable[[#This Row],[Units]]*FormTable[[#This Row],[Unit Cost]]</f>
        <v>167.44</v>
      </c>
      <c r="I6" s="22" t="s">
        <v>45</v>
      </c>
    </row>
    <row r="7" spans="1:9" x14ac:dyDescent="0.3">
      <c r="A7" s="23">
        <v>6</v>
      </c>
      <c r="B7" s="27">
        <v>44287</v>
      </c>
      <c r="C7" s="11" t="s">
        <v>24</v>
      </c>
      <c r="D7" s="11" t="s">
        <v>6</v>
      </c>
      <c r="E7" s="8" t="s">
        <v>15</v>
      </c>
      <c r="F7" s="32">
        <v>60</v>
      </c>
      <c r="G7" s="30">
        <v>4.99</v>
      </c>
      <c r="H7" s="35">
        <f>FormTable[[#This Row],[Units]]*FormTable[[#This Row],[Unit Cost]]</f>
        <v>299.40000000000003</v>
      </c>
      <c r="I7" s="22" t="s">
        <v>45</v>
      </c>
    </row>
    <row r="8" spans="1:9" x14ac:dyDescent="0.3">
      <c r="A8" s="23">
        <v>7</v>
      </c>
      <c r="B8" s="27">
        <v>44304</v>
      </c>
      <c r="C8" s="11" t="s">
        <v>22</v>
      </c>
      <c r="D8" s="11" t="s">
        <v>17</v>
      </c>
      <c r="E8" s="8" t="s">
        <v>14</v>
      </c>
      <c r="F8" s="32">
        <v>75</v>
      </c>
      <c r="G8" s="30">
        <v>1.99</v>
      </c>
      <c r="H8" s="35">
        <f>FormTable[[#This Row],[Units]]*FormTable[[#This Row],[Unit Cost]]</f>
        <v>149.25</v>
      </c>
      <c r="I8" s="22" t="s">
        <v>45</v>
      </c>
    </row>
    <row r="9" spans="1:9" x14ac:dyDescent="0.3">
      <c r="A9" s="23">
        <v>8</v>
      </c>
      <c r="B9" s="27">
        <v>44321</v>
      </c>
      <c r="C9" s="11" t="s">
        <v>22</v>
      </c>
      <c r="D9" s="11" t="s">
        <v>5</v>
      </c>
      <c r="E9" s="8" t="s">
        <v>14</v>
      </c>
      <c r="F9" s="32">
        <v>90</v>
      </c>
      <c r="G9" s="30">
        <v>4.99</v>
      </c>
      <c r="H9" s="35">
        <f>FormTable[[#This Row],[Units]]*FormTable[[#This Row],[Unit Cost]]</f>
        <v>449.1</v>
      </c>
      <c r="I9" s="22" t="s">
        <v>45</v>
      </c>
    </row>
    <row r="10" spans="1:9" x14ac:dyDescent="0.3">
      <c r="A10" s="23">
        <v>9</v>
      </c>
      <c r="B10" s="27">
        <v>44338</v>
      </c>
      <c r="C10" s="11" t="s">
        <v>23</v>
      </c>
      <c r="D10" s="11" t="s">
        <v>8</v>
      </c>
      <c r="E10" s="8" t="s">
        <v>14</v>
      </c>
      <c r="F10" s="32">
        <v>32</v>
      </c>
      <c r="G10" s="30">
        <v>1.99</v>
      </c>
      <c r="H10" s="35">
        <f>FormTable[[#This Row],[Units]]*FormTable[[#This Row],[Unit Cost]]</f>
        <v>63.68</v>
      </c>
      <c r="I10" s="22" t="s">
        <v>45</v>
      </c>
    </row>
    <row r="11" spans="1:9" x14ac:dyDescent="0.3">
      <c r="A11" s="23">
        <v>10</v>
      </c>
      <c r="B11" s="27">
        <v>44355</v>
      </c>
      <c r="C11" s="11" t="s">
        <v>24</v>
      </c>
      <c r="D11" s="11" t="s">
        <v>6</v>
      </c>
      <c r="E11" s="8" t="s">
        <v>15</v>
      </c>
      <c r="F11" s="32">
        <v>60</v>
      </c>
      <c r="G11" s="30">
        <v>8.99</v>
      </c>
      <c r="H11" s="35">
        <f>FormTable[[#This Row],[Units]]*FormTable[[#This Row],[Unit Cost]]</f>
        <v>539.4</v>
      </c>
      <c r="I11" s="22" t="s">
        <v>45</v>
      </c>
    </row>
    <row r="12" spans="1:9" x14ac:dyDescent="0.3">
      <c r="A12" s="23">
        <v>11</v>
      </c>
      <c r="B12" s="27">
        <v>44372</v>
      </c>
      <c r="C12" s="11" t="s">
        <v>22</v>
      </c>
      <c r="D12" s="11" t="s">
        <v>11</v>
      </c>
      <c r="E12" s="8" t="s">
        <v>14</v>
      </c>
      <c r="F12" s="32">
        <v>90</v>
      </c>
      <c r="G12" s="30">
        <v>4.99</v>
      </c>
      <c r="H12" s="35">
        <f>FormTable[[#This Row],[Units]]*FormTable[[#This Row],[Unit Cost]]</f>
        <v>449.1</v>
      </c>
      <c r="I12" s="22" t="s">
        <v>45</v>
      </c>
    </row>
    <row r="13" spans="1:9" x14ac:dyDescent="0.3">
      <c r="A13" s="23">
        <v>12</v>
      </c>
      <c r="B13" s="27">
        <v>44389</v>
      </c>
      <c r="C13" s="11" t="s">
        <v>24</v>
      </c>
      <c r="D13" s="11" t="s">
        <v>10</v>
      </c>
      <c r="E13" s="8" t="s">
        <v>15</v>
      </c>
      <c r="F13" s="32">
        <v>29</v>
      </c>
      <c r="G13" s="30">
        <v>1.99</v>
      </c>
      <c r="H13" s="35">
        <f>FormTable[[#This Row],[Units]]*FormTable[[#This Row],[Unit Cost]]</f>
        <v>57.71</v>
      </c>
      <c r="I13" s="22" t="s">
        <v>45</v>
      </c>
    </row>
    <row r="14" spans="1:9" x14ac:dyDescent="0.3">
      <c r="A14" s="23">
        <v>13</v>
      </c>
      <c r="B14" s="27">
        <v>44406</v>
      </c>
      <c r="C14" s="11" t="s">
        <v>24</v>
      </c>
      <c r="D14" s="11" t="s">
        <v>18</v>
      </c>
      <c r="E14" s="8" t="s">
        <v>15</v>
      </c>
      <c r="F14" s="32">
        <v>81</v>
      </c>
      <c r="G14" s="30">
        <v>19.989999999999998</v>
      </c>
      <c r="H14" s="35">
        <f>FormTable[[#This Row],[Units]]*FormTable[[#This Row],[Unit Cost]]</f>
        <v>1619.1899999999998</v>
      </c>
      <c r="I14" s="22" t="s">
        <v>45</v>
      </c>
    </row>
    <row r="15" spans="1:9" x14ac:dyDescent="0.3">
      <c r="A15" s="23">
        <v>14</v>
      </c>
      <c r="B15" s="27">
        <v>44423</v>
      </c>
      <c r="C15" s="11" t="s">
        <v>24</v>
      </c>
      <c r="D15" s="11" t="s">
        <v>6</v>
      </c>
      <c r="E15" s="8" t="s">
        <v>14</v>
      </c>
      <c r="F15" s="32">
        <v>35</v>
      </c>
      <c r="G15" s="30">
        <v>4.99</v>
      </c>
      <c r="H15" s="35">
        <f>FormTable[[#This Row],[Units]]*FormTable[[#This Row],[Unit Cost]]</f>
        <v>174.65</v>
      </c>
      <c r="I15" s="22" t="s">
        <v>45</v>
      </c>
    </row>
    <row r="16" spans="1:9" x14ac:dyDescent="0.3">
      <c r="A16" s="23">
        <v>15</v>
      </c>
      <c r="B16" s="27">
        <v>44440</v>
      </c>
      <c r="C16" s="11" t="s">
        <v>22</v>
      </c>
      <c r="D16" s="11" t="s">
        <v>9</v>
      </c>
      <c r="E16" s="8" t="s">
        <v>19</v>
      </c>
      <c r="F16" s="32">
        <v>2</v>
      </c>
      <c r="G16" s="30">
        <v>125</v>
      </c>
      <c r="H16" s="35">
        <f>FormTable[[#This Row],[Units]]*FormTable[[#This Row],[Unit Cost]]</f>
        <v>250</v>
      </c>
      <c r="I16" s="22" t="s">
        <v>45</v>
      </c>
    </row>
    <row r="17" spans="1:9" x14ac:dyDescent="0.3">
      <c r="A17" s="23">
        <v>16</v>
      </c>
      <c r="B17" s="27">
        <v>44457</v>
      </c>
      <c r="C17" s="11" t="s">
        <v>24</v>
      </c>
      <c r="D17" s="11" t="s">
        <v>6</v>
      </c>
      <c r="E17" s="8" t="s">
        <v>20</v>
      </c>
      <c r="F17" s="32">
        <v>16</v>
      </c>
      <c r="G17" s="30">
        <v>15.99</v>
      </c>
      <c r="H17" s="35">
        <f>FormTable[[#This Row],[Units]]*FormTable[[#This Row],[Unit Cost]]</f>
        <v>255.84</v>
      </c>
      <c r="I17" s="22" t="s">
        <v>45</v>
      </c>
    </row>
    <row r="18" spans="1:9" x14ac:dyDescent="0.3">
      <c r="A18" s="23">
        <v>17</v>
      </c>
      <c r="B18" s="27">
        <v>44474</v>
      </c>
      <c r="C18" s="11" t="s">
        <v>22</v>
      </c>
      <c r="D18" s="11" t="s">
        <v>11</v>
      </c>
      <c r="E18" s="8" t="s">
        <v>15</v>
      </c>
      <c r="F18" s="32">
        <v>28</v>
      </c>
      <c r="G18" s="30">
        <v>8.99</v>
      </c>
      <c r="H18" s="35">
        <f>FormTable[[#This Row],[Units]]*FormTable[[#This Row],[Unit Cost]]</f>
        <v>251.72</v>
      </c>
      <c r="I18" s="22" t="s">
        <v>45</v>
      </c>
    </row>
    <row r="19" spans="1:9" x14ac:dyDescent="0.3">
      <c r="A19" s="23">
        <v>18</v>
      </c>
      <c r="B19" s="27">
        <v>44491</v>
      </c>
      <c r="C19" s="11" t="s">
        <v>24</v>
      </c>
      <c r="D19" s="11" t="s">
        <v>6</v>
      </c>
      <c r="E19" s="8" t="s">
        <v>16</v>
      </c>
      <c r="F19" s="32">
        <v>64</v>
      </c>
      <c r="G19" s="30">
        <v>8.99</v>
      </c>
      <c r="H19" s="35">
        <f>FormTable[[#This Row],[Units]]*FormTable[[#This Row],[Unit Cost]]</f>
        <v>575.36</v>
      </c>
      <c r="I19" s="22" t="s">
        <v>45</v>
      </c>
    </row>
    <row r="20" spans="1:9" x14ac:dyDescent="0.3">
      <c r="A20" s="23">
        <v>19</v>
      </c>
      <c r="B20" s="27">
        <v>44508</v>
      </c>
      <c r="C20" s="11" t="s">
        <v>24</v>
      </c>
      <c r="D20" s="11" t="s">
        <v>18</v>
      </c>
      <c r="E20" s="8" t="s">
        <v>16</v>
      </c>
      <c r="F20" s="32">
        <v>15</v>
      </c>
      <c r="G20" s="30">
        <v>19.989999999999998</v>
      </c>
      <c r="H20" s="35">
        <f>FormTable[[#This Row],[Units]]*FormTable[[#This Row],[Unit Cost]]</f>
        <v>299.84999999999997</v>
      </c>
      <c r="I20" s="22" t="s">
        <v>45</v>
      </c>
    </row>
    <row r="21" spans="1:9" x14ac:dyDescent="0.3">
      <c r="A21" s="23">
        <v>20</v>
      </c>
      <c r="B21" s="27">
        <v>44525</v>
      </c>
      <c r="C21" s="11" t="s">
        <v>22</v>
      </c>
      <c r="D21" s="11" t="s">
        <v>7</v>
      </c>
      <c r="E21" s="8" t="s">
        <v>20</v>
      </c>
      <c r="F21" s="32">
        <v>96</v>
      </c>
      <c r="G21" s="30">
        <v>4.99</v>
      </c>
      <c r="H21" s="35">
        <f>FormTable[[#This Row],[Units]]*FormTable[[#This Row],[Unit Cost]]</f>
        <v>479.04</v>
      </c>
      <c r="I21" s="22" t="s">
        <v>45</v>
      </c>
    </row>
    <row r="22" spans="1:9" x14ac:dyDescent="0.3">
      <c r="A22" s="23">
        <v>21</v>
      </c>
      <c r="B22" s="27">
        <v>44542</v>
      </c>
      <c r="C22" s="11" t="s">
        <v>22</v>
      </c>
      <c r="D22" s="11" t="s">
        <v>9</v>
      </c>
      <c r="E22" s="8" t="s">
        <v>14</v>
      </c>
      <c r="F22" s="32">
        <v>67</v>
      </c>
      <c r="G22" s="30">
        <v>1.29</v>
      </c>
      <c r="H22" s="35">
        <f>FormTable[[#This Row],[Units]]*FormTable[[#This Row],[Unit Cost]]</f>
        <v>86.43</v>
      </c>
      <c r="I22" s="22" t="s">
        <v>45</v>
      </c>
    </row>
    <row r="23" spans="1:9" x14ac:dyDescent="0.3">
      <c r="A23" s="23">
        <v>22</v>
      </c>
      <c r="B23" s="27">
        <v>44559</v>
      </c>
      <c r="C23" s="11" t="s">
        <v>24</v>
      </c>
      <c r="D23" s="11" t="s">
        <v>18</v>
      </c>
      <c r="E23" s="8" t="s">
        <v>20</v>
      </c>
      <c r="F23" s="32">
        <v>74</v>
      </c>
      <c r="G23" s="30">
        <v>15.99</v>
      </c>
      <c r="H23" s="35">
        <f>FormTable[[#This Row],[Units]]*FormTable[[#This Row],[Unit Cost]]</f>
        <v>1183.26</v>
      </c>
      <c r="I23" s="22" t="s">
        <v>45</v>
      </c>
    </row>
    <row r="24" spans="1:9" x14ac:dyDescent="0.3">
      <c r="A24" s="23">
        <v>23</v>
      </c>
      <c r="B24" s="27">
        <v>44576</v>
      </c>
      <c r="C24" s="11" t="s">
        <v>22</v>
      </c>
      <c r="D24" s="11" t="s">
        <v>4</v>
      </c>
      <c r="E24" s="8" t="s">
        <v>15</v>
      </c>
      <c r="F24" s="32">
        <v>46</v>
      </c>
      <c r="G24" s="30">
        <v>8.99</v>
      </c>
      <c r="H24" s="35">
        <f>FormTable[[#This Row],[Units]]*FormTable[[#This Row],[Unit Cost]]</f>
        <v>413.54</v>
      </c>
      <c r="I24" s="22" t="s">
        <v>45</v>
      </c>
    </row>
    <row r="25" spans="1:9" x14ac:dyDescent="0.3">
      <c r="A25" s="23">
        <v>24</v>
      </c>
      <c r="B25" s="27">
        <v>44593</v>
      </c>
      <c r="C25" s="11" t="s">
        <v>22</v>
      </c>
      <c r="D25" s="11" t="s">
        <v>9</v>
      </c>
      <c r="E25" s="8" t="s">
        <v>15</v>
      </c>
      <c r="F25" s="32">
        <v>87</v>
      </c>
      <c r="G25" s="30">
        <v>15</v>
      </c>
      <c r="H25" s="35">
        <f>FormTable[[#This Row],[Units]]*FormTable[[#This Row],[Unit Cost]]</f>
        <v>1305</v>
      </c>
      <c r="I25" s="22" t="s">
        <v>45</v>
      </c>
    </row>
    <row r="26" spans="1:9" x14ac:dyDescent="0.3">
      <c r="A26" s="23">
        <v>25</v>
      </c>
      <c r="B26" s="27">
        <v>44610</v>
      </c>
      <c r="C26" s="11" t="s">
        <v>24</v>
      </c>
      <c r="D26" s="11" t="s">
        <v>6</v>
      </c>
      <c r="E26" s="8" t="s">
        <v>15</v>
      </c>
      <c r="F26" s="32">
        <v>4</v>
      </c>
      <c r="G26" s="30">
        <v>4.99</v>
      </c>
      <c r="H26" s="35">
        <f>FormTable[[#This Row],[Units]]*FormTable[[#This Row],[Unit Cost]]</f>
        <v>19.96</v>
      </c>
      <c r="I26" s="22" t="s">
        <v>45</v>
      </c>
    </row>
    <row r="27" spans="1:9" x14ac:dyDescent="0.3">
      <c r="A27" s="23">
        <v>26</v>
      </c>
      <c r="B27" s="27">
        <v>44627</v>
      </c>
      <c r="C27" s="11" t="s">
        <v>23</v>
      </c>
      <c r="D27" s="11" t="s">
        <v>12</v>
      </c>
      <c r="E27" s="8" t="s">
        <v>15</v>
      </c>
      <c r="F27" s="32">
        <v>7</v>
      </c>
      <c r="G27" s="30">
        <v>19.989999999999998</v>
      </c>
      <c r="H27" s="35">
        <f>FormTable[[#This Row],[Units]]*FormTable[[#This Row],[Unit Cost]]</f>
        <v>139.92999999999998</v>
      </c>
      <c r="I27" s="22" t="s">
        <v>45</v>
      </c>
    </row>
    <row r="28" spans="1:9" x14ac:dyDescent="0.3">
      <c r="A28" s="23">
        <v>27</v>
      </c>
      <c r="B28" s="27">
        <v>44644</v>
      </c>
      <c r="C28" s="11" t="s">
        <v>22</v>
      </c>
      <c r="D28" s="11" t="s">
        <v>5</v>
      </c>
      <c r="E28" s="8" t="s">
        <v>20</v>
      </c>
      <c r="F28" s="32">
        <v>50</v>
      </c>
      <c r="G28" s="30">
        <v>4.99</v>
      </c>
      <c r="H28" s="35">
        <f>FormTable[[#This Row],[Units]]*FormTable[[#This Row],[Unit Cost]]</f>
        <v>249.5</v>
      </c>
      <c r="I28" s="22" t="s">
        <v>45</v>
      </c>
    </row>
    <row r="29" spans="1:9" x14ac:dyDescent="0.3">
      <c r="A29" s="23">
        <v>28</v>
      </c>
      <c r="B29" s="27">
        <v>44661</v>
      </c>
      <c r="C29" s="11" t="s">
        <v>22</v>
      </c>
      <c r="D29" s="11" t="s">
        <v>17</v>
      </c>
      <c r="E29" s="8" t="s">
        <v>14</v>
      </c>
      <c r="F29" s="32">
        <v>66</v>
      </c>
      <c r="G29" s="30">
        <v>1.99</v>
      </c>
      <c r="H29" s="35">
        <f>FormTable[[#This Row],[Units]]*FormTable[[#This Row],[Unit Cost]]</f>
        <v>131.34</v>
      </c>
      <c r="I29" s="22" t="s">
        <v>45</v>
      </c>
    </row>
    <row r="30" spans="1:9" x14ac:dyDescent="0.3">
      <c r="A30" s="23">
        <v>29</v>
      </c>
      <c r="B30" s="27">
        <v>44678</v>
      </c>
      <c r="C30" s="11" t="s">
        <v>24</v>
      </c>
      <c r="D30" s="11" t="s">
        <v>10</v>
      </c>
      <c r="E30" s="8" t="s">
        <v>16</v>
      </c>
      <c r="F30" s="32">
        <v>96</v>
      </c>
      <c r="G30" s="30">
        <v>4.99</v>
      </c>
      <c r="H30" s="35">
        <f>FormTable[[#This Row],[Units]]*FormTable[[#This Row],[Unit Cost]]</f>
        <v>479.04</v>
      </c>
      <c r="I30" s="22" t="s">
        <v>45</v>
      </c>
    </row>
    <row r="31" spans="1:9" x14ac:dyDescent="0.3">
      <c r="A31" s="23">
        <v>30</v>
      </c>
      <c r="B31" s="27">
        <v>44695</v>
      </c>
      <c r="C31" s="11" t="s">
        <v>22</v>
      </c>
      <c r="D31" s="11" t="s">
        <v>4</v>
      </c>
      <c r="E31" s="8" t="s">
        <v>14</v>
      </c>
      <c r="F31" s="32">
        <v>53</v>
      </c>
      <c r="G31" s="30">
        <v>1.29</v>
      </c>
      <c r="H31" s="35">
        <f>FormTable[[#This Row],[Units]]*FormTable[[#This Row],[Unit Cost]]</f>
        <v>68.37</v>
      </c>
      <c r="I31" s="22" t="s">
        <v>45</v>
      </c>
    </row>
    <row r="32" spans="1:9" x14ac:dyDescent="0.3">
      <c r="A32" s="23">
        <v>31</v>
      </c>
      <c r="B32" s="27">
        <v>44712</v>
      </c>
      <c r="C32" s="11" t="s">
        <v>22</v>
      </c>
      <c r="D32" s="11" t="s">
        <v>4</v>
      </c>
      <c r="E32" s="8" t="s">
        <v>15</v>
      </c>
      <c r="F32" s="32">
        <v>80</v>
      </c>
      <c r="G32" s="30">
        <v>8.99</v>
      </c>
      <c r="H32" s="35">
        <f>FormTable[[#This Row],[Units]]*FormTable[[#This Row],[Unit Cost]]</f>
        <v>719.2</v>
      </c>
      <c r="I32" s="22" t="s">
        <v>45</v>
      </c>
    </row>
    <row r="33" spans="1:9" x14ac:dyDescent="0.3">
      <c r="A33" s="23">
        <v>32</v>
      </c>
      <c r="B33" s="27">
        <v>44729</v>
      </c>
      <c r="C33" s="11" t="s">
        <v>22</v>
      </c>
      <c r="D33" s="11" t="s">
        <v>7</v>
      </c>
      <c r="E33" s="8" t="s">
        <v>19</v>
      </c>
      <c r="F33" s="32">
        <v>5</v>
      </c>
      <c r="G33" s="30">
        <v>125</v>
      </c>
      <c r="H33" s="35">
        <f>FormTable[[#This Row],[Units]]*FormTable[[#This Row],[Unit Cost]]</f>
        <v>625</v>
      </c>
      <c r="I33" s="22" t="s">
        <v>45</v>
      </c>
    </row>
    <row r="34" spans="1:9" x14ac:dyDescent="0.3">
      <c r="A34" s="23">
        <v>33</v>
      </c>
      <c r="B34" s="27">
        <v>44746</v>
      </c>
      <c r="C34" s="11" t="s">
        <v>24</v>
      </c>
      <c r="D34" s="11" t="s">
        <v>6</v>
      </c>
      <c r="E34" s="8" t="s">
        <v>20</v>
      </c>
      <c r="F34" s="32">
        <v>62</v>
      </c>
      <c r="G34" s="30">
        <v>4.99</v>
      </c>
      <c r="H34" s="35">
        <f>FormTable[[#This Row],[Units]]*FormTable[[#This Row],[Unit Cost]]</f>
        <v>309.38</v>
      </c>
      <c r="I34" s="22" t="s">
        <v>45</v>
      </c>
    </row>
    <row r="35" spans="1:9" x14ac:dyDescent="0.3">
      <c r="A35" s="23">
        <v>34</v>
      </c>
      <c r="B35" s="27">
        <v>44763</v>
      </c>
      <c r="C35" s="11" t="s">
        <v>22</v>
      </c>
      <c r="D35" s="11" t="s">
        <v>11</v>
      </c>
      <c r="E35" s="8" t="s">
        <v>20</v>
      </c>
      <c r="F35" s="32">
        <v>55</v>
      </c>
      <c r="G35" s="30">
        <v>12.49</v>
      </c>
      <c r="H35" s="35">
        <f>FormTable[[#This Row],[Units]]*FormTable[[#This Row],[Unit Cost]]</f>
        <v>686.95</v>
      </c>
      <c r="I35" s="22" t="s">
        <v>45</v>
      </c>
    </row>
    <row r="36" spans="1:9" x14ac:dyDescent="0.3">
      <c r="A36" s="23">
        <v>35</v>
      </c>
      <c r="B36" s="27">
        <v>44780</v>
      </c>
      <c r="C36" s="11" t="s">
        <v>22</v>
      </c>
      <c r="D36" s="11" t="s">
        <v>7</v>
      </c>
      <c r="E36" s="8" t="s">
        <v>20</v>
      </c>
      <c r="F36" s="32">
        <v>42</v>
      </c>
      <c r="G36" s="30">
        <v>23.95</v>
      </c>
      <c r="H36" s="35">
        <f>FormTable[[#This Row],[Units]]*FormTable[[#This Row],[Unit Cost]]</f>
        <v>1005.9</v>
      </c>
      <c r="I36" s="22" t="s">
        <v>45</v>
      </c>
    </row>
    <row r="37" spans="1:9" x14ac:dyDescent="0.3">
      <c r="A37" s="23">
        <v>36</v>
      </c>
      <c r="B37" s="27">
        <v>44797</v>
      </c>
      <c r="C37" s="11" t="s">
        <v>23</v>
      </c>
      <c r="D37" s="11" t="s">
        <v>12</v>
      </c>
      <c r="E37" s="8" t="s">
        <v>19</v>
      </c>
      <c r="F37" s="32">
        <v>3</v>
      </c>
      <c r="G37" s="30">
        <v>275</v>
      </c>
      <c r="H37" s="35">
        <f>FormTable[[#This Row],[Units]]*FormTable[[#This Row],[Unit Cost]]</f>
        <v>825</v>
      </c>
      <c r="I37" s="22" t="s">
        <v>45</v>
      </c>
    </row>
    <row r="38" spans="1:9" x14ac:dyDescent="0.3">
      <c r="A38" s="23">
        <v>37</v>
      </c>
      <c r="B38" s="27">
        <v>44814</v>
      </c>
      <c r="C38" s="11" t="s">
        <v>22</v>
      </c>
      <c r="D38" s="11" t="s">
        <v>4</v>
      </c>
      <c r="E38" s="8" t="s">
        <v>14</v>
      </c>
      <c r="F38" s="32">
        <v>7</v>
      </c>
      <c r="G38" s="30">
        <v>1.29</v>
      </c>
      <c r="H38" s="35">
        <f>FormTable[[#This Row],[Units]]*FormTable[[#This Row],[Unit Cost]]</f>
        <v>9.0300000000000011</v>
      </c>
      <c r="I38" s="22" t="s">
        <v>45</v>
      </c>
    </row>
    <row r="39" spans="1:9" x14ac:dyDescent="0.3">
      <c r="A39" s="23">
        <v>38</v>
      </c>
      <c r="B39" s="27">
        <v>44831</v>
      </c>
      <c r="C39" s="11" t="s">
        <v>23</v>
      </c>
      <c r="D39" s="11" t="s">
        <v>12</v>
      </c>
      <c r="E39" s="8" t="s">
        <v>16</v>
      </c>
      <c r="F39" s="32">
        <v>76</v>
      </c>
      <c r="G39" s="30">
        <v>1.99</v>
      </c>
      <c r="H39" s="35">
        <f>FormTable[[#This Row],[Units]]*FormTable[[#This Row],[Unit Cost]]</f>
        <v>151.24</v>
      </c>
      <c r="I39" s="22" t="s">
        <v>45</v>
      </c>
    </row>
    <row r="40" spans="1:9" x14ac:dyDescent="0.3">
      <c r="A40" s="23">
        <v>39</v>
      </c>
      <c r="B40" s="27">
        <v>44848</v>
      </c>
      <c r="C40" s="11" t="s">
        <v>23</v>
      </c>
      <c r="D40" s="11" t="s">
        <v>8</v>
      </c>
      <c r="E40" s="8" t="s">
        <v>15</v>
      </c>
      <c r="F40" s="32">
        <v>57</v>
      </c>
      <c r="G40" s="30">
        <v>19.989999999999998</v>
      </c>
      <c r="H40" s="35">
        <f>FormTable[[#This Row],[Units]]*FormTable[[#This Row],[Unit Cost]]</f>
        <v>1139.4299999999998</v>
      </c>
      <c r="I40" s="22" t="s">
        <v>45</v>
      </c>
    </row>
    <row r="41" spans="1:9" x14ac:dyDescent="0.3">
      <c r="A41" s="23">
        <v>40</v>
      </c>
      <c r="B41" s="27">
        <v>44865</v>
      </c>
      <c r="C41" s="11" t="s">
        <v>22</v>
      </c>
      <c r="D41" s="11" t="s">
        <v>17</v>
      </c>
      <c r="E41" s="8" t="s">
        <v>14</v>
      </c>
      <c r="F41" s="32">
        <v>14</v>
      </c>
      <c r="G41" s="30">
        <v>1.29</v>
      </c>
      <c r="H41" s="35">
        <f>FormTable[[#This Row],[Units]]*FormTable[[#This Row],[Unit Cost]]</f>
        <v>18.060000000000002</v>
      </c>
      <c r="I41" s="22" t="s">
        <v>45</v>
      </c>
    </row>
    <row r="42" spans="1:9" x14ac:dyDescent="0.3">
      <c r="A42" s="23">
        <v>41</v>
      </c>
      <c r="B42" s="27">
        <v>44882</v>
      </c>
      <c r="C42" s="11" t="s">
        <v>23</v>
      </c>
      <c r="D42" s="11" t="s">
        <v>5</v>
      </c>
      <c r="E42" s="8" t="s">
        <v>15</v>
      </c>
      <c r="F42" s="32">
        <v>11</v>
      </c>
      <c r="G42" s="30">
        <v>4.99</v>
      </c>
      <c r="H42" s="35">
        <f>FormTable[[#This Row],[Units]]*FormTable[[#This Row],[Unit Cost]]</f>
        <v>54.89</v>
      </c>
      <c r="I42" s="22" t="s">
        <v>47</v>
      </c>
    </row>
    <row r="43" spans="1:9" x14ac:dyDescent="0.3">
      <c r="A43" s="23">
        <v>42</v>
      </c>
      <c r="B43" s="27">
        <v>44899</v>
      </c>
      <c r="C43" s="11" t="s">
        <v>22</v>
      </c>
      <c r="D43" s="11" t="s">
        <v>5</v>
      </c>
      <c r="E43" s="8" t="s">
        <v>15</v>
      </c>
      <c r="F43" s="32">
        <v>94</v>
      </c>
      <c r="G43" s="30">
        <v>19.989999999999998</v>
      </c>
      <c r="H43" s="35">
        <f>FormTable[[#This Row],[Units]]*FormTable[[#This Row],[Unit Cost]]</f>
        <v>1879.06</v>
      </c>
      <c r="I43" s="22" t="s">
        <v>45</v>
      </c>
    </row>
    <row r="44" spans="1:9" x14ac:dyDescent="0.3">
      <c r="A44" s="23">
        <v>43</v>
      </c>
      <c r="B44" s="27">
        <v>44916</v>
      </c>
      <c r="C44" s="11" t="s">
        <v>22</v>
      </c>
      <c r="D44" s="11" t="s">
        <v>17</v>
      </c>
      <c r="E44" s="8" t="s">
        <v>15</v>
      </c>
      <c r="F44" s="32">
        <v>28</v>
      </c>
      <c r="G44" s="13">
        <v>4.99</v>
      </c>
      <c r="H44" s="35">
        <f>FormTable[[#This Row],[Units]]*FormTable[[#This Row],[Unit Cost]]</f>
        <v>139.72</v>
      </c>
      <c r="I44" s="22" t="s">
        <v>45</v>
      </c>
    </row>
    <row r="45" spans="1:9" x14ac:dyDescent="0.3">
      <c r="A45" s="23">
        <v>44</v>
      </c>
      <c r="B45" s="28">
        <v>45445</v>
      </c>
      <c r="C45" s="38" t="s">
        <v>23</v>
      </c>
      <c r="D45" s="3" t="s">
        <v>5</v>
      </c>
      <c r="E45" s="39" t="s">
        <v>16</v>
      </c>
      <c r="F45" s="33">
        <v>2</v>
      </c>
      <c r="G45" s="31">
        <v>15.5</v>
      </c>
      <c r="H45" s="36">
        <f>FormTable[[#This Row],[Units]]*FormTable[[#This Row],[Unit Cost]]</f>
        <v>31</v>
      </c>
      <c r="I45" s="22" t="s">
        <v>45</v>
      </c>
    </row>
    <row r="46" spans="1:9" x14ac:dyDescent="0.3">
      <c r="A46" s="23">
        <v>46</v>
      </c>
      <c r="B46" s="28">
        <v>45445</v>
      </c>
      <c r="C46" s="38" t="s">
        <v>23</v>
      </c>
      <c r="D46" s="3" t="s">
        <v>8</v>
      </c>
      <c r="E46" s="39" t="s">
        <v>19</v>
      </c>
      <c r="F46" s="33">
        <v>7</v>
      </c>
      <c r="G46" s="31">
        <v>7.77</v>
      </c>
      <c r="H46" s="36">
        <f>FormTable[[#This Row],[Units]]*FormTable[[#This Row],[Unit Cost]]</f>
        <v>54.39</v>
      </c>
      <c r="I46" s="22" t="s">
        <v>45</v>
      </c>
    </row>
    <row r="47" spans="1:9" x14ac:dyDescent="0.3">
      <c r="A47" s="23">
        <v>47</v>
      </c>
      <c r="B47" s="28">
        <v>45445</v>
      </c>
      <c r="C47" s="38" t="s">
        <v>48</v>
      </c>
      <c r="D47" s="3" t="s">
        <v>49</v>
      </c>
      <c r="E47" s="39" t="s">
        <v>50</v>
      </c>
      <c r="F47" s="33">
        <v>8</v>
      </c>
      <c r="G47" s="31">
        <v>5.99</v>
      </c>
      <c r="H47" s="36">
        <f>FormTable[[#This Row],[Units]]*FormTable[[#This Row],[Unit Cost]]</f>
        <v>47.92</v>
      </c>
      <c r="I47" s="22" t="s">
        <v>45</v>
      </c>
    </row>
  </sheetData>
  <pageMargins left="0.75" right="0.75" top="1" bottom="1" header="0.5" footer="0.5"/>
  <pageSetup orientation="portrait" r:id="rId1"/>
  <headerFooter alignWithMargins="0">
    <oddFooter>&amp;LDeveloped by Contextures Inc.&amp;Cwww.contextures.com&amp;R&amp;D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tón1_Haga_clic_en">
                <anchor moveWithCells="1">
                  <from>
                    <xdr:col>10</xdr:col>
                    <xdr:colOff>327660</xdr:colOff>
                    <xdr:row>1</xdr:row>
                    <xdr:rowOff>91440</xdr:rowOff>
                  </from>
                  <to>
                    <xdr:col>13</xdr:col>
                    <xdr:colOff>99060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44"/>
  <sheetViews>
    <sheetView showGridLines="0" zoomScaleNormal="100" workbookViewId="0">
      <pane ySplit="1" topLeftCell="A2" activePane="bottomLeft" state="frozen"/>
      <selection pane="bottomLeft" activeCell="B44" sqref="B44"/>
    </sheetView>
  </sheetViews>
  <sheetFormatPr baseColWidth="10" defaultColWidth="9.109375" defaultRowHeight="14.4" x14ac:dyDescent="0.3"/>
  <cols>
    <col min="1" max="1" width="14.109375" style="3" bestFit="1" customWidth="1"/>
    <col min="2" max="2" width="8.6640625" style="3" customWidth="1"/>
    <col min="3" max="3" width="15.77734375" style="3" bestFit="1" customWidth="1"/>
    <col min="4" max="4" width="7.109375" style="22" customWidth="1"/>
    <col min="5" max="5" width="7.5546875" style="4" bestFit="1" customWidth="1"/>
    <col min="6" max="6" width="10.88671875" style="3" bestFit="1" customWidth="1"/>
    <col min="7" max="7" width="9.109375" style="3" bestFit="1" customWidth="1"/>
    <col min="8" max="16384" width="9.109375" style="3"/>
  </cols>
  <sheetData>
    <row r="1" spans="1:8" x14ac:dyDescent="0.3">
      <c r="A1" s="6" t="s">
        <v>21</v>
      </c>
      <c r="B1" s="7" t="s">
        <v>0</v>
      </c>
      <c r="C1" s="7" t="s">
        <v>37</v>
      </c>
      <c r="D1" s="8" t="s">
        <v>1</v>
      </c>
      <c r="E1" s="9" t="s">
        <v>2</v>
      </c>
      <c r="F1" s="8" t="s">
        <v>13</v>
      </c>
      <c r="G1" s="8" t="s">
        <v>3</v>
      </c>
      <c r="H1" s="3" t="s">
        <v>43</v>
      </c>
    </row>
    <row r="2" spans="1:8" x14ac:dyDescent="0.3">
      <c r="A2" s="10">
        <v>44202</v>
      </c>
      <c r="B2" s="6">
        <v>1</v>
      </c>
      <c r="C2" s="6">
        <v>1</v>
      </c>
      <c r="D2" s="6">
        <v>1</v>
      </c>
      <c r="E2" s="12">
        <v>95</v>
      </c>
      <c r="F2" s="13">
        <v>1.99</v>
      </c>
      <c r="G2" s="14">
        <v>189.05</v>
      </c>
      <c r="H2" t="s">
        <v>40</v>
      </c>
    </row>
    <row r="3" spans="1:8" x14ac:dyDescent="0.3">
      <c r="A3" s="10">
        <v>44219</v>
      </c>
      <c r="B3" s="6">
        <v>2</v>
      </c>
      <c r="C3" s="6">
        <v>2</v>
      </c>
      <c r="D3" s="6">
        <v>2</v>
      </c>
      <c r="E3" s="12">
        <v>50</v>
      </c>
      <c r="F3" s="13">
        <v>19.989999999999998</v>
      </c>
      <c r="G3" s="14">
        <v>999.49999999999989</v>
      </c>
      <c r="H3" t="s">
        <v>40</v>
      </c>
    </row>
    <row r="4" spans="1:8" x14ac:dyDescent="0.3">
      <c r="A4" s="10">
        <v>44236</v>
      </c>
      <c r="B4" s="6">
        <v>2</v>
      </c>
      <c r="C4" s="6">
        <v>3</v>
      </c>
      <c r="D4" s="6">
        <v>1</v>
      </c>
      <c r="E4" s="12">
        <v>36</v>
      </c>
      <c r="F4" s="13">
        <v>4.99</v>
      </c>
      <c r="G4" s="14">
        <v>179.64000000000001</v>
      </c>
      <c r="H4" t="s">
        <v>40</v>
      </c>
    </row>
    <row r="5" spans="1:8" x14ac:dyDescent="0.3">
      <c r="A5" s="10">
        <v>44253</v>
      </c>
      <c r="B5" s="6">
        <v>2</v>
      </c>
      <c r="C5" s="6">
        <v>4</v>
      </c>
      <c r="D5" s="6">
        <v>3</v>
      </c>
      <c r="E5" s="12">
        <v>27</v>
      </c>
      <c r="F5" s="13">
        <v>19.989999999999998</v>
      </c>
      <c r="G5" s="14">
        <v>539.7299999999999</v>
      </c>
      <c r="H5" t="s">
        <v>40</v>
      </c>
    </row>
    <row r="6" spans="1:8" x14ac:dyDescent="0.3">
      <c r="A6" s="10">
        <v>44270</v>
      </c>
      <c r="B6" s="6">
        <v>3</v>
      </c>
      <c r="C6" s="6">
        <v>5</v>
      </c>
      <c r="D6" s="6">
        <v>1</v>
      </c>
      <c r="E6" s="12">
        <v>56</v>
      </c>
      <c r="F6" s="13">
        <v>2.99</v>
      </c>
      <c r="G6" s="14">
        <v>167.44</v>
      </c>
      <c r="H6" t="s">
        <v>40</v>
      </c>
    </row>
    <row r="7" spans="1:8" x14ac:dyDescent="0.3">
      <c r="A7" s="10">
        <v>44287</v>
      </c>
      <c r="B7" s="6">
        <v>1</v>
      </c>
      <c r="C7" s="6">
        <v>1</v>
      </c>
      <c r="D7" s="6">
        <v>2</v>
      </c>
      <c r="E7" s="12">
        <v>60</v>
      </c>
      <c r="F7" s="13">
        <v>4.99</v>
      </c>
      <c r="G7" s="14">
        <v>299.40000000000003</v>
      </c>
      <c r="H7" t="s">
        <v>40</v>
      </c>
    </row>
    <row r="8" spans="1:8" x14ac:dyDescent="0.3">
      <c r="A8" s="10">
        <v>44304</v>
      </c>
      <c r="B8" s="6">
        <v>2</v>
      </c>
      <c r="C8" s="6">
        <v>6</v>
      </c>
      <c r="D8" s="6">
        <v>1</v>
      </c>
      <c r="E8" s="12">
        <v>75</v>
      </c>
      <c r="F8" s="13">
        <v>1.99</v>
      </c>
      <c r="G8" s="14">
        <v>149.25</v>
      </c>
      <c r="H8" t="s">
        <v>40</v>
      </c>
    </row>
    <row r="9" spans="1:8" x14ac:dyDescent="0.3">
      <c r="A9" s="10">
        <v>44321</v>
      </c>
      <c r="B9" s="6">
        <v>2</v>
      </c>
      <c r="C9" s="6">
        <v>3</v>
      </c>
      <c r="D9" s="6">
        <v>1</v>
      </c>
      <c r="E9" s="12">
        <v>90</v>
      </c>
      <c r="F9" s="13">
        <v>4.99</v>
      </c>
      <c r="G9" s="14">
        <v>449.1</v>
      </c>
      <c r="H9" t="s">
        <v>40</v>
      </c>
    </row>
    <row r="10" spans="1:8" x14ac:dyDescent="0.3">
      <c r="A10" s="10">
        <v>44338</v>
      </c>
      <c r="B10" s="6">
        <v>3</v>
      </c>
      <c r="C10" s="6">
        <v>7</v>
      </c>
      <c r="D10" s="6">
        <v>1</v>
      </c>
      <c r="E10" s="12">
        <v>32</v>
      </c>
      <c r="F10" s="13">
        <v>1.99</v>
      </c>
      <c r="G10" s="14">
        <v>63.68</v>
      </c>
      <c r="H10" t="s">
        <v>40</v>
      </c>
    </row>
    <row r="11" spans="1:8" x14ac:dyDescent="0.3">
      <c r="A11" s="10">
        <v>44355</v>
      </c>
      <c r="B11" s="6">
        <v>1</v>
      </c>
      <c r="C11" s="6">
        <v>1</v>
      </c>
      <c r="D11" s="6">
        <v>2</v>
      </c>
      <c r="E11" s="12">
        <v>60</v>
      </c>
      <c r="F11" s="13">
        <v>8.99</v>
      </c>
      <c r="G11" s="14">
        <v>539.4</v>
      </c>
      <c r="H11" t="s">
        <v>40</v>
      </c>
    </row>
    <row r="12" spans="1:8" x14ac:dyDescent="0.3">
      <c r="A12" s="10">
        <v>44372</v>
      </c>
      <c r="B12" s="6">
        <v>2</v>
      </c>
      <c r="C12" s="6">
        <v>8</v>
      </c>
      <c r="D12" s="6">
        <v>1</v>
      </c>
      <c r="E12" s="12">
        <v>90</v>
      </c>
      <c r="F12" s="13">
        <v>4.99</v>
      </c>
      <c r="G12" s="14">
        <v>449.1</v>
      </c>
      <c r="H12" t="s">
        <v>40</v>
      </c>
    </row>
    <row r="13" spans="1:8" x14ac:dyDescent="0.3">
      <c r="A13" s="10">
        <v>44389</v>
      </c>
      <c r="B13" s="6">
        <v>1</v>
      </c>
      <c r="C13" s="6">
        <v>9</v>
      </c>
      <c r="D13" s="6">
        <v>2</v>
      </c>
      <c r="E13" s="12">
        <v>29</v>
      </c>
      <c r="F13" s="13">
        <v>1.99</v>
      </c>
      <c r="G13" s="14">
        <v>57.71</v>
      </c>
      <c r="H13" t="s">
        <v>40</v>
      </c>
    </row>
    <row r="14" spans="1:8" x14ac:dyDescent="0.3">
      <c r="A14" s="10">
        <v>44406</v>
      </c>
      <c r="B14" s="6">
        <v>1</v>
      </c>
      <c r="C14" s="6">
        <v>10</v>
      </c>
      <c r="D14" s="6">
        <v>2</v>
      </c>
      <c r="E14" s="12">
        <v>81</v>
      </c>
      <c r="F14" s="13">
        <v>19.989999999999998</v>
      </c>
      <c r="G14" s="14">
        <v>1619.1899999999998</v>
      </c>
      <c r="H14" t="s">
        <v>40</v>
      </c>
    </row>
    <row r="15" spans="1:8" x14ac:dyDescent="0.3">
      <c r="A15" s="10">
        <v>44423</v>
      </c>
      <c r="B15" s="6">
        <v>1</v>
      </c>
      <c r="C15" s="6">
        <v>1</v>
      </c>
      <c r="D15" s="6">
        <v>1</v>
      </c>
      <c r="E15" s="12">
        <v>35</v>
      </c>
      <c r="F15" s="13">
        <v>4.99</v>
      </c>
      <c r="G15" s="14">
        <v>174.65</v>
      </c>
      <c r="H15" t="s">
        <v>40</v>
      </c>
    </row>
    <row r="16" spans="1:8" x14ac:dyDescent="0.3">
      <c r="A16" s="10">
        <v>44440</v>
      </c>
      <c r="B16" s="6">
        <v>2</v>
      </c>
      <c r="C16" s="6">
        <v>11</v>
      </c>
      <c r="D16" s="6">
        <v>4</v>
      </c>
      <c r="E16" s="12">
        <v>2</v>
      </c>
      <c r="F16" s="13">
        <v>125</v>
      </c>
      <c r="G16" s="14">
        <v>250</v>
      </c>
      <c r="H16" t="s">
        <v>40</v>
      </c>
    </row>
    <row r="17" spans="1:8" x14ac:dyDescent="0.3">
      <c r="A17" s="10">
        <v>44457</v>
      </c>
      <c r="B17" s="6">
        <v>1</v>
      </c>
      <c r="C17" s="6">
        <v>1</v>
      </c>
      <c r="D17" s="6">
        <v>5</v>
      </c>
      <c r="E17" s="12">
        <v>16</v>
      </c>
      <c r="F17" s="13">
        <v>15.99</v>
      </c>
      <c r="G17" s="14">
        <v>255.84</v>
      </c>
      <c r="H17" t="s">
        <v>40</v>
      </c>
    </row>
    <row r="18" spans="1:8" x14ac:dyDescent="0.3">
      <c r="A18" s="10">
        <v>44474</v>
      </c>
      <c r="B18" s="6">
        <v>2</v>
      </c>
      <c r="C18" s="6">
        <v>8</v>
      </c>
      <c r="D18" s="6">
        <v>2</v>
      </c>
      <c r="E18" s="12">
        <v>28</v>
      </c>
      <c r="F18" s="13">
        <v>8.99</v>
      </c>
      <c r="G18" s="14">
        <v>251.72</v>
      </c>
      <c r="H18" t="s">
        <v>40</v>
      </c>
    </row>
    <row r="19" spans="1:8" x14ac:dyDescent="0.3">
      <c r="A19" s="10">
        <v>44491</v>
      </c>
      <c r="B19" s="6">
        <v>1</v>
      </c>
      <c r="C19" s="6">
        <v>1</v>
      </c>
      <c r="D19" s="6">
        <v>3</v>
      </c>
      <c r="E19" s="12">
        <v>64</v>
      </c>
      <c r="F19" s="13">
        <v>8.99</v>
      </c>
      <c r="G19" s="14">
        <v>575.36</v>
      </c>
      <c r="H19" t="s">
        <v>40</v>
      </c>
    </row>
    <row r="20" spans="1:8" x14ac:dyDescent="0.3">
      <c r="A20" s="10">
        <v>44508</v>
      </c>
      <c r="B20" s="6">
        <v>1</v>
      </c>
      <c r="C20" s="6">
        <v>10</v>
      </c>
      <c r="D20" s="6">
        <v>3</v>
      </c>
      <c r="E20" s="12">
        <v>15</v>
      </c>
      <c r="F20" s="13">
        <v>19.989999999999998</v>
      </c>
      <c r="G20" s="14">
        <v>299.84999999999997</v>
      </c>
      <c r="H20" t="s">
        <v>40</v>
      </c>
    </row>
    <row r="21" spans="1:8" x14ac:dyDescent="0.3">
      <c r="A21" s="10">
        <v>44525</v>
      </c>
      <c r="B21" s="6">
        <v>2</v>
      </c>
      <c r="C21" s="6">
        <v>2</v>
      </c>
      <c r="D21" s="6">
        <v>5</v>
      </c>
      <c r="E21" s="12">
        <v>96</v>
      </c>
      <c r="F21" s="13">
        <v>4.99</v>
      </c>
      <c r="G21" s="14">
        <v>479.04</v>
      </c>
      <c r="H21" t="s">
        <v>40</v>
      </c>
    </row>
    <row r="22" spans="1:8" x14ac:dyDescent="0.3">
      <c r="A22" s="10">
        <v>44542</v>
      </c>
      <c r="B22" s="6">
        <v>2</v>
      </c>
      <c r="C22" s="6">
        <v>11</v>
      </c>
      <c r="D22" s="6">
        <v>1</v>
      </c>
      <c r="E22" s="12">
        <v>67</v>
      </c>
      <c r="F22" s="13">
        <v>1.29</v>
      </c>
      <c r="G22" s="14">
        <v>86.43</v>
      </c>
      <c r="H22" t="s">
        <v>40</v>
      </c>
    </row>
    <row r="23" spans="1:8" x14ac:dyDescent="0.3">
      <c r="A23" s="10">
        <v>44559</v>
      </c>
      <c r="B23" s="6">
        <v>1</v>
      </c>
      <c r="C23" s="6">
        <v>10</v>
      </c>
      <c r="D23" s="6">
        <v>5</v>
      </c>
      <c r="E23" s="12">
        <v>74</v>
      </c>
      <c r="F23" s="13">
        <v>15.99</v>
      </c>
      <c r="G23" s="14">
        <v>1183.26</v>
      </c>
      <c r="H23" t="s">
        <v>40</v>
      </c>
    </row>
    <row r="24" spans="1:8" x14ac:dyDescent="0.3">
      <c r="A24" s="10">
        <v>44576</v>
      </c>
      <c r="B24" s="6">
        <v>2</v>
      </c>
      <c r="C24" s="6">
        <v>4</v>
      </c>
      <c r="D24" s="6">
        <v>2</v>
      </c>
      <c r="E24" s="12">
        <v>46</v>
      </c>
      <c r="F24" s="13">
        <v>8.99</v>
      </c>
      <c r="G24" s="14">
        <v>413.54</v>
      </c>
      <c r="H24" t="s">
        <v>40</v>
      </c>
    </row>
    <row r="25" spans="1:8" x14ac:dyDescent="0.3">
      <c r="A25" s="10">
        <v>44593</v>
      </c>
      <c r="B25" s="6">
        <v>2</v>
      </c>
      <c r="C25" s="6">
        <v>11</v>
      </c>
      <c r="D25" s="6">
        <v>2</v>
      </c>
      <c r="E25" s="12">
        <v>87</v>
      </c>
      <c r="F25" s="13">
        <v>15</v>
      </c>
      <c r="G25" s="14">
        <v>1305</v>
      </c>
      <c r="H25" t="s">
        <v>40</v>
      </c>
    </row>
    <row r="26" spans="1:8" x14ac:dyDescent="0.3">
      <c r="A26" s="10">
        <v>44610</v>
      </c>
      <c r="B26" s="6">
        <v>1</v>
      </c>
      <c r="C26" s="6">
        <v>1</v>
      </c>
      <c r="D26" s="6">
        <v>2</v>
      </c>
      <c r="E26" s="12">
        <v>4</v>
      </c>
      <c r="F26" s="13">
        <v>4.99</v>
      </c>
      <c r="G26" s="14">
        <v>19.96</v>
      </c>
      <c r="H26" t="s">
        <v>40</v>
      </c>
    </row>
    <row r="27" spans="1:8" x14ac:dyDescent="0.3">
      <c r="A27" s="10">
        <v>44627</v>
      </c>
      <c r="B27" s="6">
        <v>3</v>
      </c>
      <c r="C27" s="6">
        <v>5</v>
      </c>
      <c r="D27" s="6">
        <v>2</v>
      </c>
      <c r="E27" s="12">
        <v>7</v>
      </c>
      <c r="F27" s="13">
        <v>19.989999999999998</v>
      </c>
      <c r="G27" s="14">
        <v>139.92999999999998</v>
      </c>
      <c r="H27" t="s">
        <v>40</v>
      </c>
    </row>
    <row r="28" spans="1:8" x14ac:dyDescent="0.3">
      <c r="A28" s="10">
        <v>44644</v>
      </c>
      <c r="B28" s="6">
        <v>2</v>
      </c>
      <c r="C28" s="6">
        <v>3</v>
      </c>
      <c r="D28" s="6">
        <v>5</v>
      </c>
      <c r="E28" s="12">
        <v>50</v>
      </c>
      <c r="F28" s="13">
        <v>4.99</v>
      </c>
      <c r="G28" s="14">
        <v>249.5</v>
      </c>
      <c r="H28" t="s">
        <v>40</v>
      </c>
    </row>
    <row r="29" spans="1:8" x14ac:dyDescent="0.3">
      <c r="A29" s="10">
        <v>44661</v>
      </c>
      <c r="B29" s="6">
        <v>2</v>
      </c>
      <c r="C29" s="6">
        <v>6</v>
      </c>
      <c r="D29" s="6">
        <v>1</v>
      </c>
      <c r="E29" s="12">
        <v>66</v>
      </c>
      <c r="F29" s="13">
        <v>1.99</v>
      </c>
      <c r="G29" s="14">
        <v>131.34</v>
      </c>
      <c r="H29" t="s">
        <v>40</v>
      </c>
    </row>
    <row r="30" spans="1:8" x14ac:dyDescent="0.3">
      <c r="A30" s="10">
        <v>44678</v>
      </c>
      <c r="B30" s="6">
        <v>1</v>
      </c>
      <c r="C30" s="6">
        <v>9</v>
      </c>
      <c r="D30" s="6">
        <v>3</v>
      </c>
      <c r="E30" s="12">
        <v>96</v>
      </c>
      <c r="F30" s="13">
        <v>4.99</v>
      </c>
      <c r="G30" s="14">
        <v>479.04</v>
      </c>
      <c r="H30" t="s">
        <v>40</v>
      </c>
    </row>
    <row r="31" spans="1:8" x14ac:dyDescent="0.3">
      <c r="A31" s="10">
        <v>44695</v>
      </c>
      <c r="B31" s="6">
        <v>2</v>
      </c>
      <c r="C31" s="6">
        <v>4</v>
      </c>
      <c r="D31" s="6">
        <v>1</v>
      </c>
      <c r="E31" s="12">
        <v>53</v>
      </c>
      <c r="F31" s="13">
        <v>1.29</v>
      </c>
      <c r="G31" s="14">
        <v>68.37</v>
      </c>
      <c r="H31" t="s">
        <v>40</v>
      </c>
    </row>
    <row r="32" spans="1:8" x14ac:dyDescent="0.3">
      <c r="A32" s="10">
        <v>44712</v>
      </c>
      <c r="B32" s="6">
        <v>2</v>
      </c>
      <c r="C32" s="6">
        <v>4</v>
      </c>
      <c r="D32" s="6">
        <v>2</v>
      </c>
      <c r="E32" s="12">
        <v>80</v>
      </c>
      <c r="F32" s="13">
        <v>8.99</v>
      </c>
      <c r="G32" s="14">
        <v>719.2</v>
      </c>
      <c r="H32" t="s">
        <v>40</v>
      </c>
    </row>
    <row r="33" spans="1:8" x14ac:dyDescent="0.3">
      <c r="A33" s="10">
        <v>44729</v>
      </c>
      <c r="B33" s="6">
        <v>2</v>
      </c>
      <c r="C33" s="6">
        <v>2</v>
      </c>
      <c r="D33" s="6">
        <v>4</v>
      </c>
      <c r="E33" s="12">
        <v>5</v>
      </c>
      <c r="F33" s="13">
        <v>125</v>
      </c>
      <c r="G33" s="14">
        <v>625</v>
      </c>
      <c r="H33" t="s">
        <v>40</v>
      </c>
    </row>
    <row r="34" spans="1:8" x14ac:dyDescent="0.3">
      <c r="A34" s="10">
        <v>44746</v>
      </c>
      <c r="B34" s="6">
        <v>1</v>
      </c>
      <c r="C34" s="6">
        <v>1</v>
      </c>
      <c r="D34" s="6">
        <v>5</v>
      </c>
      <c r="E34" s="12">
        <v>62</v>
      </c>
      <c r="F34" s="13">
        <v>4.99</v>
      </c>
      <c r="G34" s="14">
        <v>309.38</v>
      </c>
      <c r="H34" t="s">
        <v>40</v>
      </c>
    </row>
    <row r="35" spans="1:8" x14ac:dyDescent="0.3">
      <c r="A35" s="10">
        <v>44763</v>
      </c>
      <c r="B35" s="6">
        <v>2</v>
      </c>
      <c r="C35" s="6">
        <v>8</v>
      </c>
      <c r="D35" s="6">
        <v>5</v>
      </c>
      <c r="E35" s="12">
        <v>55</v>
      </c>
      <c r="F35" s="13">
        <v>12.49</v>
      </c>
      <c r="G35" s="14">
        <v>686.95</v>
      </c>
      <c r="H35" t="s">
        <v>40</v>
      </c>
    </row>
    <row r="36" spans="1:8" x14ac:dyDescent="0.3">
      <c r="A36" s="10">
        <v>44780</v>
      </c>
      <c r="B36" s="6">
        <v>2</v>
      </c>
      <c r="C36" s="6">
        <v>2</v>
      </c>
      <c r="D36" s="6">
        <v>5</v>
      </c>
      <c r="E36" s="12">
        <v>42</v>
      </c>
      <c r="F36" s="13">
        <v>23.95</v>
      </c>
      <c r="G36" s="14">
        <v>1005.9</v>
      </c>
      <c r="H36" t="s">
        <v>40</v>
      </c>
    </row>
    <row r="37" spans="1:8" x14ac:dyDescent="0.3">
      <c r="A37" s="10">
        <v>44797</v>
      </c>
      <c r="B37" s="6">
        <v>3</v>
      </c>
      <c r="C37" s="6">
        <v>5</v>
      </c>
      <c r="D37" s="6">
        <v>4</v>
      </c>
      <c r="E37" s="12">
        <v>3</v>
      </c>
      <c r="F37" s="13">
        <v>275</v>
      </c>
      <c r="G37" s="14">
        <v>825</v>
      </c>
      <c r="H37" t="s">
        <v>40</v>
      </c>
    </row>
    <row r="38" spans="1:8" x14ac:dyDescent="0.3">
      <c r="A38" s="10">
        <v>44814</v>
      </c>
      <c r="B38" s="6">
        <v>2</v>
      </c>
      <c r="C38" s="6">
        <v>4</v>
      </c>
      <c r="D38" s="6">
        <v>1</v>
      </c>
      <c r="E38" s="12">
        <v>7</v>
      </c>
      <c r="F38" s="13">
        <v>1.29</v>
      </c>
      <c r="G38" s="14">
        <v>9.0300000000000011</v>
      </c>
      <c r="H38" t="s">
        <v>40</v>
      </c>
    </row>
    <row r="39" spans="1:8" x14ac:dyDescent="0.3">
      <c r="A39" s="10">
        <v>44831</v>
      </c>
      <c r="B39" s="6">
        <v>3</v>
      </c>
      <c r="C39" s="6">
        <v>5</v>
      </c>
      <c r="D39" s="6">
        <v>3</v>
      </c>
      <c r="E39" s="12">
        <v>76</v>
      </c>
      <c r="F39" s="13">
        <v>1.99</v>
      </c>
      <c r="G39" s="14">
        <v>151.24</v>
      </c>
      <c r="H39" t="s">
        <v>40</v>
      </c>
    </row>
    <row r="40" spans="1:8" x14ac:dyDescent="0.3">
      <c r="A40" s="10">
        <v>44848</v>
      </c>
      <c r="B40" s="6">
        <v>3</v>
      </c>
      <c r="C40" s="6">
        <v>7</v>
      </c>
      <c r="D40" s="6">
        <v>2</v>
      </c>
      <c r="E40" s="12">
        <v>57</v>
      </c>
      <c r="F40" s="13">
        <v>19.989999999999998</v>
      </c>
      <c r="G40" s="14">
        <v>1139.4299999999998</v>
      </c>
      <c r="H40" t="s">
        <v>40</v>
      </c>
    </row>
    <row r="41" spans="1:8" x14ac:dyDescent="0.3">
      <c r="A41" s="10">
        <v>44865</v>
      </c>
      <c r="B41" s="6">
        <v>2</v>
      </c>
      <c r="C41" s="6">
        <v>6</v>
      </c>
      <c r="D41" s="6">
        <v>1</v>
      </c>
      <c r="E41" s="12">
        <v>14</v>
      </c>
      <c r="F41" s="13">
        <v>1.29</v>
      </c>
      <c r="G41" s="14">
        <v>18.060000000000002</v>
      </c>
      <c r="H41" t="s">
        <v>40</v>
      </c>
    </row>
    <row r="42" spans="1:8" x14ac:dyDescent="0.3">
      <c r="A42" s="10">
        <v>44882</v>
      </c>
      <c r="B42" s="6">
        <v>2</v>
      </c>
      <c r="C42" s="6">
        <v>3</v>
      </c>
      <c r="D42" s="6">
        <v>2</v>
      </c>
      <c r="E42" s="12">
        <v>11</v>
      </c>
      <c r="F42" s="13">
        <v>4.99</v>
      </c>
      <c r="G42" s="14">
        <v>54.89</v>
      </c>
      <c r="H42" t="s">
        <v>40</v>
      </c>
    </row>
    <row r="43" spans="1:8" x14ac:dyDescent="0.3">
      <c r="A43" s="10">
        <v>44899</v>
      </c>
      <c r="B43" s="6">
        <v>2</v>
      </c>
      <c r="C43" s="6">
        <v>3</v>
      </c>
      <c r="D43" s="6">
        <v>2</v>
      </c>
      <c r="E43" s="12">
        <v>94</v>
      </c>
      <c r="F43" s="13">
        <v>19.989999999999998</v>
      </c>
      <c r="G43" s="14">
        <v>1879.06</v>
      </c>
      <c r="H43" t="s">
        <v>40</v>
      </c>
    </row>
    <row r="44" spans="1:8" x14ac:dyDescent="0.3">
      <c r="A44" s="10">
        <v>44916</v>
      </c>
      <c r="B44" s="6">
        <v>2</v>
      </c>
      <c r="C44" s="6">
        <v>6</v>
      </c>
      <c r="D44" s="6">
        <v>2</v>
      </c>
      <c r="E44" s="12">
        <v>28</v>
      </c>
      <c r="F44" s="13">
        <v>4.99</v>
      </c>
      <c r="G44" s="14">
        <v>139.72</v>
      </c>
      <c r="H44" t="s">
        <v>40</v>
      </c>
    </row>
  </sheetData>
  <phoneticPr fontId="0" type="noConversion"/>
  <pageMargins left="0.75" right="0.75" top="1" bottom="1" header="0.5" footer="0.5"/>
  <pageSetup orientation="portrait" r:id="rId1"/>
  <headerFooter alignWithMargins="0">
    <oddFooter>&amp;LDeveloped by Contextures Inc.&amp;Cwww.contextures.com&amp;R&amp;D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80CC8-9211-47AA-9986-E53107315DC6}">
  <sheetPr codeName="Hoja1"/>
  <dimension ref="A1:C44"/>
  <sheetViews>
    <sheetView workbookViewId="0">
      <selection activeCell="K11" sqref="K11"/>
    </sheetView>
  </sheetViews>
  <sheetFormatPr baseColWidth="10" defaultRowHeight="14.4" x14ac:dyDescent="0.3"/>
  <cols>
    <col min="1" max="1" width="2.6640625" bestFit="1" customWidth="1"/>
    <col min="2" max="2" width="8.6640625" style="3" customWidth="1"/>
    <col min="3" max="3" width="7.6640625" bestFit="1" customWidth="1"/>
  </cols>
  <sheetData>
    <row r="1" spans="1:3" x14ac:dyDescent="0.3">
      <c r="A1" s="20" t="s">
        <v>38</v>
      </c>
      <c r="B1" s="19" t="s">
        <v>0</v>
      </c>
      <c r="C1" s="24" t="s">
        <v>43</v>
      </c>
    </row>
    <row r="2" spans="1:3" x14ac:dyDescent="0.3">
      <c r="A2">
        <v>1</v>
      </c>
      <c r="B2" s="11" t="s">
        <v>24</v>
      </c>
      <c r="C2" t="s">
        <v>40</v>
      </c>
    </row>
    <row r="3" spans="1:3" x14ac:dyDescent="0.3">
      <c r="A3">
        <v>2</v>
      </c>
      <c r="B3" s="11" t="s">
        <v>22</v>
      </c>
      <c r="C3" t="s">
        <v>40</v>
      </c>
    </row>
    <row r="4" spans="1:3" x14ac:dyDescent="0.3">
      <c r="A4">
        <v>3</v>
      </c>
      <c r="B4" s="11" t="s">
        <v>23</v>
      </c>
      <c r="C4" t="s">
        <v>40</v>
      </c>
    </row>
    <row r="5" spans="1:3" x14ac:dyDescent="0.3">
      <c r="A5">
        <v>4</v>
      </c>
      <c r="B5" t="s">
        <v>48</v>
      </c>
      <c r="C5" t="s">
        <v>40</v>
      </c>
    </row>
    <row r="6" spans="1:3" x14ac:dyDescent="0.3">
      <c r="B6"/>
    </row>
    <row r="7" spans="1:3" x14ac:dyDescent="0.3">
      <c r="B7"/>
    </row>
    <row r="8" spans="1:3" x14ac:dyDescent="0.3">
      <c r="B8"/>
    </row>
    <row r="9" spans="1:3" x14ac:dyDescent="0.3">
      <c r="B9"/>
    </row>
    <row r="10" spans="1:3" x14ac:dyDescent="0.3">
      <c r="B10"/>
    </row>
    <row r="11" spans="1:3" x14ac:dyDescent="0.3">
      <c r="B11"/>
    </row>
    <row r="12" spans="1:3" x14ac:dyDescent="0.3">
      <c r="B12"/>
    </row>
    <row r="13" spans="1:3" x14ac:dyDescent="0.3">
      <c r="B13"/>
    </row>
    <row r="14" spans="1:3" x14ac:dyDescent="0.3">
      <c r="B14"/>
    </row>
    <row r="15" spans="1:3" x14ac:dyDescent="0.3">
      <c r="B15"/>
    </row>
    <row r="16" spans="1:3" x14ac:dyDescent="0.3">
      <c r="B16"/>
    </row>
    <row r="17" spans="2:2" x14ac:dyDescent="0.3">
      <c r="B17"/>
    </row>
    <row r="18" spans="2:2" x14ac:dyDescent="0.3">
      <c r="B18"/>
    </row>
    <row r="19" spans="2:2" x14ac:dyDescent="0.3">
      <c r="B19"/>
    </row>
    <row r="20" spans="2:2" x14ac:dyDescent="0.3">
      <c r="B20"/>
    </row>
    <row r="21" spans="2:2" x14ac:dyDescent="0.3">
      <c r="B21"/>
    </row>
    <row r="22" spans="2:2" x14ac:dyDescent="0.3">
      <c r="B22"/>
    </row>
    <row r="23" spans="2:2" x14ac:dyDescent="0.3">
      <c r="B23"/>
    </row>
    <row r="24" spans="2:2" x14ac:dyDescent="0.3">
      <c r="B24"/>
    </row>
    <row r="25" spans="2:2" x14ac:dyDescent="0.3">
      <c r="B25"/>
    </row>
    <row r="26" spans="2:2" x14ac:dyDescent="0.3">
      <c r="B26"/>
    </row>
    <row r="27" spans="2:2" x14ac:dyDescent="0.3">
      <c r="B27"/>
    </row>
    <row r="28" spans="2:2" x14ac:dyDescent="0.3">
      <c r="B28"/>
    </row>
    <row r="29" spans="2:2" x14ac:dyDescent="0.3">
      <c r="B29"/>
    </row>
    <row r="30" spans="2:2" x14ac:dyDescent="0.3">
      <c r="B30"/>
    </row>
    <row r="31" spans="2:2" x14ac:dyDescent="0.3">
      <c r="B31"/>
    </row>
    <row r="32" spans="2:2" x14ac:dyDescent="0.3">
      <c r="B32"/>
    </row>
    <row r="33" spans="2:2" x14ac:dyDescent="0.3">
      <c r="B33"/>
    </row>
    <row r="34" spans="2:2" x14ac:dyDescent="0.3">
      <c r="B34"/>
    </row>
    <row r="35" spans="2:2" x14ac:dyDescent="0.3">
      <c r="B35"/>
    </row>
    <row r="36" spans="2:2" x14ac:dyDescent="0.3">
      <c r="B36"/>
    </row>
    <row r="37" spans="2:2" x14ac:dyDescent="0.3">
      <c r="B37"/>
    </row>
    <row r="38" spans="2:2" x14ac:dyDescent="0.3">
      <c r="B38"/>
    </row>
    <row r="39" spans="2:2" x14ac:dyDescent="0.3">
      <c r="B39"/>
    </row>
    <row r="40" spans="2:2" x14ac:dyDescent="0.3">
      <c r="B40"/>
    </row>
    <row r="41" spans="2:2" x14ac:dyDescent="0.3">
      <c r="B41"/>
    </row>
    <row r="42" spans="2:2" x14ac:dyDescent="0.3">
      <c r="B42"/>
    </row>
    <row r="43" spans="2:2" x14ac:dyDescent="0.3">
      <c r="B43"/>
    </row>
    <row r="44" spans="2:2" x14ac:dyDescent="0.3">
      <c r="B4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77FCE-A9C8-4F85-BA7C-AE66F60EAE13}">
  <sheetPr codeName="Hoja3"/>
  <dimension ref="A1:C13"/>
  <sheetViews>
    <sheetView workbookViewId="0">
      <selection activeCell="G19" sqref="G19"/>
    </sheetView>
  </sheetViews>
  <sheetFormatPr baseColWidth="10" defaultRowHeight="14.4" x14ac:dyDescent="0.3"/>
  <cols>
    <col min="1" max="1" width="3" bestFit="1" customWidth="1"/>
    <col min="2" max="2" width="13.5546875" bestFit="1" customWidth="1"/>
    <col min="3" max="3" width="7.6640625" bestFit="1" customWidth="1"/>
  </cols>
  <sheetData>
    <row r="1" spans="1:3" x14ac:dyDescent="0.3">
      <c r="A1" s="19" t="s">
        <v>38</v>
      </c>
      <c r="B1" s="19" t="s">
        <v>37</v>
      </c>
      <c r="C1" s="24" t="s">
        <v>43</v>
      </c>
    </row>
    <row r="2" spans="1:3" x14ac:dyDescent="0.3">
      <c r="A2">
        <v>1</v>
      </c>
      <c r="B2" s="21" t="s">
        <v>6</v>
      </c>
      <c r="C2" t="s">
        <v>40</v>
      </c>
    </row>
    <row r="3" spans="1:3" x14ac:dyDescent="0.3">
      <c r="A3">
        <v>2</v>
      </c>
      <c r="B3" s="21" t="s">
        <v>7</v>
      </c>
      <c r="C3" t="s">
        <v>40</v>
      </c>
    </row>
    <row r="4" spans="1:3" x14ac:dyDescent="0.3">
      <c r="A4">
        <v>3</v>
      </c>
      <c r="B4" s="21" t="s">
        <v>5</v>
      </c>
      <c r="C4" t="s">
        <v>40</v>
      </c>
    </row>
    <row r="5" spans="1:3" x14ac:dyDescent="0.3">
      <c r="A5">
        <v>4</v>
      </c>
      <c r="B5" s="21" t="s">
        <v>4</v>
      </c>
      <c r="C5" t="s">
        <v>40</v>
      </c>
    </row>
    <row r="6" spans="1:3" x14ac:dyDescent="0.3">
      <c r="A6">
        <v>5</v>
      </c>
      <c r="B6" s="21" t="s">
        <v>12</v>
      </c>
      <c r="C6" t="s">
        <v>40</v>
      </c>
    </row>
    <row r="7" spans="1:3" x14ac:dyDescent="0.3">
      <c r="A7">
        <v>6</v>
      </c>
      <c r="B7" s="21" t="s">
        <v>17</v>
      </c>
      <c r="C7" t="s">
        <v>40</v>
      </c>
    </row>
    <row r="8" spans="1:3" x14ac:dyDescent="0.3">
      <c r="A8">
        <v>7</v>
      </c>
      <c r="B8" s="21" t="s">
        <v>8</v>
      </c>
      <c r="C8" t="s">
        <v>40</v>
      </c>
    </row>
    <row r="9" spans="1:3" x14ac:dyDescent="0.3">
      <c r="A9">
        <v>8</v>
      </c>
      <c r="B9" s="21" t="s">
        <v>11</v>
      </c>
      <c r="C9" t="s">
        <v>40</v>
      </c>
    </row>
    <row r="10" spans="1:3" x14ac:dyDescent="0.3">
      <c r="A10">
        <v>9</v>
      </c>
      <c r="B10" s="21" t="s">
        <v>10</v>
      </c>
      <c r="C10" t="s">
        <v>40</v>
      </c>
    </row>
    <row r="11" spans="1:3" x14ac:dyDescent="0.3">
      <c r="A11">
        <v>10</v>
      </c>
      <c r="B11" s="21" t="s">
        <v>18</v>
      </c>
      <c r="C11" t="s">
        <v>40</v>
      </c>
    </row>
    <row r="12" spans="1:3" x14ac:dyDescent="0.3">
      <c r="A12">
        <v>11</v>
      </c>
      <c r="B12" s="21" t="s">
        <v>9</v>
      </c>
      <c r="C12" t="s">
        <v>40</v>
      </c>
    </row>
    <row r="13" spans="1:3" x14ac:dyDescent="0.3">
      <c r="A13">
        <v>12</v>
      </c>
      <c r="B13" t="s">
        <v>49</v>
      </c>
      <c r="C13" t="s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8F2D8-4420-4309-AEE8-6D9B5A3A99E6}">
  <sheetPr codeName="Hoja2"/>
  <dimension ref="A1:C44"/>
  <sheetViews>
    <sheetView workbookViewId="0">
      <selection activeCell="C2" sqref="C2"/>
    </sheetView>
  </sheetViews>
  <sheetFormatPr baseColWidth="10" defaultRowHeight="14.4" x14ac:dyDescent="0.3"/>
  <cols>
    <col min="1" max="1" width="2.6640625" bestFit="1" customWidth="1"/>
    <col min="2" max="2" width="7.109375" style="3" bestFit="1" customWidth="1"/>
    <col min="3" max="3" width="7.6640625" bestFit="1" customWidth="1"/>
  </cols>
  <sheetData>
    <row r="1" spans="1:3" x14ac:dyDescent="0.3">
      <c r="A1" s="20" t="s">
        <v>38</v>
      </c>
      <c r="B1" s="20" t="s">
        <v>1</v>
      </c>
      <c r="C1" s="24" t="s">
        <v>43</v>
      </c>
    </row>
    <row r="2" spans="1:3" x14ac:dyDescent="0.3">
      <c r="A2">
        <v>1</v>
      </c>
      <c r="B2" s="8" t="s">
        <v>14</v>
      </c>
      <c r="C2" t="s">
        <v>40</v>
      </c>
    </row>
    <row r="3" spans="1:3" x14ac:dyDescent="0.3">
      <c r="A3">
        <v>2</v>
      </c>
      <c r="B3" s="8" t="s">
        <v>15</v>
      </c>
      <c r="C3" t="s">
        <v>40</v>
      </c>
    </row>
    <row r="4" spans="1:3" x14ac:dyDescent="0.3">
      <c r="A4">
        <v>3</v>
      </c>
      <c r="B4" s="8" t="s">
        <v>16</v>
      </c>
      <c r="C4" t="s">
        <v>40</v>
      </c>
    </row>
    <row r="5" spans="1:3" x14ac:dyDescent="0.3">
      <c r="A5">
        <v>4</v>
      </c>
      <c r="B5" s="8" t="s">
        <v>19</v>
      </c>
      <c r="C5" t="s">
        <v>40</v>
      </c>
    </row>
    <row r="6" spans="1:3" x14ac:dyDescent="0.3">
      <c r="A6">
        <v>5</v>
      </c>
      <c r="B6" s="8" t="s">
        <v>20</v>
      </c>
      <c r="C6" t="s">
        <v>40</v>
      </c>
    </row>
    <row r="7" spans="1:3" x14ac:dyDescent="0.3">
      <c r="A7">
        <v>6</v>
      </c>
      <c r="B7" t="s">
        <v>50</v>
      </c>
      <c r="C7" t="s">
        <v>40</v>
      </c>
    </row>
    <row r="8" spans="1:3" x14ac:dyDescent="0.3">
      <c r="B8"/>
    </row>
    <row r="9" spans="1:3" x14ac:dyDescent="0.3">
      <c r="B9"/>
    </row>
    <row r="10" spans="1:3" x14ac:dyDescent="0.3">
      <c r="B10"/>
    </row>
    <row r="11" spans="1:3" x14ac:dyDescent="0.3">
      <c r="B11"/>
    </row>
    <row r="12" spans="1:3" x14ac:dyDescent="0.3">
      <c r="B12"/>
    </row>
    <row r="13" spans="1:3" x14ac:dyDescent="0.3">
      <c r="B13"/>
    </row>
    <row r="14" spans="1:3" x14ac:dyDescent="0.3">
      <c r="B14"/>
    </row>
    <row r="15" spans="1:3" x14ac:dyDescent="0.3">
      <c r="B15"/>
    </row>
    <row r="16" spans="1:3" x14ac:dyDescent="0.3">
      <c r="B16"/>
    </row>
    <row r="17" spans="2:2" x14ac:dyDescent="0.3">
      <c r="B17"/>
    </row>
    <row r="18" spans="2:2" x14ac:dyDescent="0.3">
      <c r="B18"/>
    </row>
    <row r="19" spans="2:2" x14ac:dyDescent="0.3">
      <c r="B19"/>
    </row>
    <row r="20" spans="2:2" x14ac:dyDescent="0.3">
      <c r="B20"/>
    </row>
    <row r="21" spans="2:2" x14ac:dyDescent="0.3">
      <c r="B21"/>
    </row>
    <row r="22" spans="2:2" x14ac:dyDescent="0.3">
      <c r="B22"/>
    </row>
    <row r="23" spans="2:2" x14ac:dyDescent="0.3">
      <c r="B23"/>
    </row>
    <row r="24" spans="2:2" x14ac:dyDescent="0.3">
      <c r="B24"/>
    </row>
    <row r="25" spans="2:2" x14ac:dyDescent="0.3">
      <c r="B25"/>
    </row>
    <row r="26" spans="2:2" x14ac:dyDescent="0.3">
      <c r="B26"/>
    </row>
    <row r="27" spans="2:2" x14ac:dyDescent="0.3">
      <c r="B27"/>
    </row>
    <row r="28" spans="2:2" x14ac:dyDescent="0.3">
      <c r="B28"/>
    </row>
    <row r="29" spans="2:2" x14ac:dyDescent="0.3">
      <c r="B29"/>
    </row>
    <row r="30" spans="2:2" x14ac:dyDescent="0.3">
      <c r="B30"/>
    </row>
    <row r="31" spans="2:2" x14ac:dyDescent="0.3">
      <c r="B31"/>
    </row>
    <row r="32" spans="2:2" x14ac:dyDescent="0.3">
      <c r="B32"/>
    </row>
    <row r="33" spans="2:2" x14ac:dyDescent="0.3">
      <c r="B33"/>
    </row>
    <row r="34" spans="2:2" x14ac:dyDescent="0.3">
      <c r="B34"/>
    </row>
    <row r="35" spans="2:2" x14ac:dyDescent="0.3">
      <c r="B35"/>
    </row>
    <row r="36" spans="2:2" x14ac:dyDescent="0.3">
      <c r="B36"/>
    </row>
    <row r="37" spans="2:2" x14ac:dyDescent="0.3">
      <c r="B37"/>
    </row>
    <row r="38" spans="2:2" x14ac:dyDescent="0.3">
      <c r="B38"/>
    </row>
    <row r="39" spans="2:2" x14ac:dyDescent="0.3">
      <c r="B39"/>
    </row>
    <row r="40" spans="2:2" x14ac:dyDescent="0.3">
      <c r="B40"/>
    </row>
    <row r="41" spans="2:2" x14ac:dyDescent="0.3">
      <c r="B41"/>
    </row>
    <row r="42" spans="2:2" x14ac:dyDescent="0.3">
      <c r="B42"/>
    </row>
    <row r="43" spans="2:2" x14ac:dyDescent="0.3">
      <c r="B43"/>
    </row>
    <row r="44" spans="2:2" x14ac:dyDescent="0.3">
      <c r="B4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2CD22-56DD-4307-B1A9-97DC1202DD94}">
  <sheetPr codeName="Hoja4"/>
  <dimension ref="A1:C6"/>
  <sheetViews>
    <sheetView workbookViewId="0">
      <selection activeCell="B2" sqref="B2"/>
    </sheetView>
  </sheetViews>
  <sheetFormatPr baseColWidth="10" defaultRowHeight="14.4" x14ac:dyDescent="0.3"/>
  <cols>
    <col min="1" max="1" width="2.6640625" bestFit="1" customWidth="1"/>
    <col min="2" max="2" width="7.6640625" bestFit="1" customWidth="1"/>
    <col min="3" max="3" width="10.6640625" bestFit="1" customWidth="1"/>
  </cols>
  <sheetData>
    <row r="1" spans="1:3" x14ac:dyDescent="0.3">
      <c r="A1" s="20" t="s">
        <v>38</v>
      </c>
      <c r="B1" s="24" t="s">
        <v>43</v>
      </c>
      <c r="C1" s="20" t="s">
        <v>44</v>
      </c>
    </row>
    <row r="2" spans="1:3" x14ac:dyDescent="0.3">
      <c r="A2">
        <v>1</v>
      </c>
      <c r="B2" t="s">
        <v>40</v>
      </c>
      <c r="C2" t="s">
        <v>45</v>
      </c>
    </row>
    <row r="3" spans="1:3" x14ac:dyDescent="0.3">
      <c r="A3">
        <v>2</v>
      </c>
      <c r="B3" s="8" t="s">
        <v>41</v>
      </c>
      <c r="C3" t="s">
        <v>47</v>
      </c>
    </row>
    <row r="4" spans="1:3" x14ac:dyDescent="0.3">
      <c r="A4">
        <v>3</v>
      </c>
      <c r="B4" s="8" t="s">
        <v>42</v>
      </c>
      <c r="C4" t="s">
        <v>46</v>
      </c>
    </row>
    <row r="5" spans="1:3" x14ac:dyDescent="0.3">
      <c r="B5" s="8"/>
    </row>
    <row r="6" spans="1:3" x14ac:dyDescent="0.3">
      <c r="B6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0"/>
  <dimension ref="B1:C17"/>
  <sheetViews>
    <sheetView showGridLines="0" zoomScaleNormal="100" workbookViewId="0">
      <pane ySplit="3" topLeftCell="A4" activePane="bottomLeft" state="frozen"/>
      <selection pane="bottomLeft" activeCell="A19" sqref="A19:XFD19"/>
    </sheetView>
  </sheetViews>
  <sheetFormatPr baseColWidth="10" defaultColWidth="9.109375" defaultRowHeight="14.4" x14ac:dyDescent="0.3"/>
  <cols>
    <col min="2" max="2" width="2.88671875" customWidth="1"/>
    <col min="3" max="3" width="31.44140625" customWidth="1"/>
  </cols>
  <sheetData>
    <row r="1" spans="2:3" ht="7.5" customHeight="1" x14ac:dyDescent="0.3"/>
    <row r="4" spans="2:3" ht="9" customHeight="1" x14ac:dyDescent="0.3"/>
    <row r="5" spans="2:3" ht="15.6" x14ac:dyDescent="0.3">
      <c r="C5" s="1" t="s">
        <v>25</v>
      </c>
    </row>
    <row r="6" spans="2:3" x14ac:dyDescent="0.3">
      <c r="B6" s="2"/>
      <c r="C6" s="17" t="s">
        <v>30</v>
      </c>
    </row>
    <row r="7" spans="2:3" ht="15.6" x14ac:dyDescent="0.3">
      <c r="B7" s="2"/>
      <c r="C7" s="18" t="s">
        <v>36</v>
      </c>
    </row>
    <row r="8" spans="2:3" ht="9" customHeight="1" x14ac:dyDescent="0.3"/>
    <row r="9" spans="2:3" ht="15.6" x14ac:dyDescent="0.3">
      <c r="B9" s="2"/>
      <c r="C9" s="1" t="s">
        <v>26</v>
      </c>
    </row>
    <row r="10" spans="2:3" x14ac:dyDescent="0.3">
      <c r="C10" s="16" t="s">
        <v>33</v>
      </c>
    </row>
    <row r="11" spans="2:3" x14ac:dyDescent="0.3">
      <c r="B11" s="2"/>
      <c r="C11" s="17" t="s">
        <v>29</v>
      </c>
    </row>
    <row r="12" spans="2:3" x14ac:dyDescent="0.3">
      <c r="C12" s="16" t="s">
        <v>31</v>
      </c>
    </row>
    <row r="13" spans="2:3" ht="9" customHeight="1" x14ac:dyDescent="0.3"/>
    <row r="14" spans="2:3" ht="15.6" x14ac:dyDescent="0.3">
      <c r="C14" s="1" t="s">
        <v>27</v>
      </c>
    </row>
    <row r="15" spans="2:3" ht="15.6" x14ac:dyDescent="0.3">
      <c r="B15" s="5" t="s">
        <v>28</v>
      </c>
      <c r="C15" s="15" t="s">
        <v>34</v>
      </c>
    </row>
    <row r="16" spans="2:3" x14ac:dyDescent="0.3">
      <c r="B16" s="5" t="s">
        <v>28</v>
      </c>
      <c r="C16" t="s">
        <v>35</v>
      </c>
    </row>
    <row r="17" spans="2:3" ht="15.6" x14ac:dyDescent="0.3">
      <c r="B17" s="5" t="s">
        <v>28</v>
      </c>
      <c r="C17" s="15" t="s">
        <v>32</v>
      </c>
    </row>
  </sheetData>
  <hyperlinks>
    <hyperlink ref="C6" r:id="rId1" xr:uid="{00000000-0004-0000-0000-000001000000}"/>
    <hyperlink ref="C11" r:id="rId2" xr:uid="{00000000-0004-0000-0000-000002000000}"/>
    <hyperlink ref="C12" r:id="rId3" location="numberdate" xr:uid="{00000000-0004-0000-0000-000004000000}"/>
    <hyperlink ref="C10" r:id="rId4" xr:uid="{542F5451-4623-475D-B6BF-6362136F0245}"/>
  </hyperlinks>
  <pageMargins left="0.7" right="0.7" top="0.75" bottom="0.75" header="0.3" footer="0.3"/>
  <pageSetup orientation="portrait" r:id="rId5"/>
  <drawing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tructure xmlns="thqs">{"Id":"00000000-0000-0000-0000-000000000000","ParentId":null,"Name":"Root","IsExpanded":false,"Children":[]}</Structure>
</file>

<file path=customXml/itemProps1.xml><?xml version="1.0" encoding="utf-8"?>
<ds:datastoreItem xmlns:ds="http://schemas.openxmlformats.org/officeDocument/2006/customXml" ds:itemID="{A901E35E-065E-4A2A-895E-508E746953CD}">
  <ds:schemaRefs>
    <ds:schemaRef ds:uri="thq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FormData</vt:lpstr>
      <vt:lpstr>SalesOrders</vt:lpstr>
      <vt:lpstr>Region</vt:lpstr>
      <vt:lpstr>Representative</vt:lpstr>
      <vt:lpstr>Items</vt:lpstr>
      <vt:lpstr>EstadoRegistro</vt:lpstr>
      <vt:lpstr>Instructions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Excel Data</dc:title>
  <dc:subject>Sample Excel Data</dc:subject>
  <dc:creator>Debra Dalgleish</dc:creator>
  <cp:keywords>Excel data, sample data</cp:keywords>
  <dc:description>Sample sales orders for use in testing Excel data</dc:description>
  <cp:lastModifiedBy>Samir Diego Chávez Cáceres</cp:lastModifiedBy>
  <dcterms:created xsi:type="dcterms:W3CDTF">2004-05-01T18:16:56Z</dcterms:created>
  <dcterms:modified xsi:type="dcterms:W3CDTF">2024-03-05T00:42:58Z</dcterms:modified>
  <cp:category>Excel</cp:category>
</cp:coreProperties>
</file>